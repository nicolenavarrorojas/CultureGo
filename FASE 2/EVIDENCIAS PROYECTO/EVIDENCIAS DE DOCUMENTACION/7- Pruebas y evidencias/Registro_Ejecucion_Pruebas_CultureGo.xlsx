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Instrucciones" sheetId="2" state="visible" r:id="rId4"/>
    <sheet name="Ejecuciones" sheetId="3" state="visible" r:id="rId5"/>
    <sheet name="Resultados UT" sheetId="4" state="visible" r:id="rId6"/>
    <sheet name="Resultados QA" sheetId="5" state="visible" r:id="rId7"/>
    <sheet name="Tiempos" sheetId="6" state="visible" r:id="rId8"/>
    <sheet name="Incidencias" sheetId="7" state="visible" r:id="rId9"/>
    <sheet name="Cobertura" sheetId="8" state="visible" r:id="rId10"/>
    <sheet name="Decisiones" sheetId="9" state="visible" r:id="rId11"/>
    <sheet name="Criterios" sheetId="10" state="visible" r:id="rId12"/>
  </sheets>
  <definedNames>
    <definedName function="false" hidden="true" localSheetId="7" name="_xlnm._FilterDatabase" vbProcedure="false">Cobertura!$A$4:$N$68</definedName>
    <definedName function="false" hidden="true" localSheetId="6" name="_xlnm._FilterDatabase" vbProcedure="false">Incidencias!$A$4:$P$38</definedName>
    <definedName function="false" hidden="true" localSheetId="4" name="_xlnm._FilterDatabase" vbProcedure="false">'Resultados QA'!$A$4:$R$33</definedName>
    <definedName function="false" hidden="true" localSheetId="3" name="_xlnm._FilterDatabase" vbProcedure="false">'Resultados UT'!$A$4:$L$114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<sst xmlns="http://schemas.openxmlformats.org/spreadsheetml/2006/main" count="1754" uniqueCount="797">
  <si>
    <t xml:space="preserve">Resumen de pruebas — CultureGo</t>
  </si>
  <si>
    <t xml:space="preserve">Ejecución unitaria de referencia (N.º)</t>
  </si>
  <si>
    <t xml:space="preserve">Cambiar al N.º de la última ejecución unitaria registrada en «Ejecuciones».</t>
  </si>
  <si>
    <t xml:space="preserve">Pruebas unitarias (ejecución de referencia)</t>
  </si>
  <si>
    <t xml:space="preserve">Fecha</t>
  </si>
  <si>
    <t xml:space="preserve">Pruebas ejecutadas</t>
  </si>
  <si>
    <t xml:space="preserve">Pass</t>
  </si>
  <si>
    <t xml:space="preserve">Fail</t>
  </si>
  <si>
    <t xml:space="preserve">% aprobación</t>
  </si>
  <si>
    <t xml:space="preserve">Cobertura de líneas global</t>
  </si>
  <si>
    <t xml:space="preserve">Pruebas manuales (resultado vigente)</t>
  </si>
  <si>
    <t xml:space="preserve">Casos definidos</t>
  </si>
  <si>
    <t xml:space="preserve">Ejecutados</t>
  </si>
  <si>
    <t xml:space="preserve">Bloqueados</t>
  </si>
  <si>
    <t xml:space="preserve">Críticos en Pass (de 13)</t>
  </si>
  <si>
    <t xml:space="preserve">Incidencias</t>
  </si>
  <si>
    <t xml:space="preserve">Severidad</t>
  </si>
  <si>
    <t xml:space="preserve">Abiertas</t>
  </si>
  <si>
    <t xml:space="preserve">Cerradas</t>
  </si>
  <si>
    <t xml:space="preserve">Aceptadas</t>
  </si>
  <si>
    <t xml:space="preserve">Total</t>
  </si>
  <si>
    <t xml:space="preserve">Crítica</t>
  </si>
  <si>
    <t xml:space="preserve">Alta</t>
  </si>
  <si>
    <t xml:space="preserve">Media</t>
  </si>
  <si>
    <t xml:space="preserve">Baja</t>
  </si>
  <si>
    <t xml:space="preserve">Criterios de salida (regla de decisión, plan sección 5.4)</t>
  </si>
  <si>
    <t xml:space="preserve">Obligatorios cumplidos (de 6)</t>
  </si>
  <si>
    <t xml:space="preserve">Obligatorios no cumplidos o pendientes</t>
  </si>
  <si>
    <t xml:space="preserve">Deseables bajo el mínimo</t>
  </si>
  <si>
    <t xml:space="preserve">Deseables pendientes</t>
  </si>
  <si>
    <t xml:space="preserve">Resultado preliminar</t>
  </si>
  <si>
    <t xml:space="preserve">«En curso» indica que aún hay criterios pendientes de evaluar. Mientras algún obligatorio no se cumpla, el resultado es «No validado».</t>
  </si>
  <si>
    <t xml:space="preserve">Registro de ejecución de pruebas — CultureGo</t>
  </si>
  <si>
    <t xml:space="preserve">Complementa al Plan de Pruebas v2.0. El plan define qué se prueba; esta planilla registra qué pasó en cada ejecución.</t>
  </si>
  <si>
    <t xml:space="preserve">Hoja</t>
  </si>
  <si>
    <t xml:space="preserve">Para qué sirve</t>
  </si>
  <si>
    <t xml:space="preserve">Qué se completa</t>
  </si>
  <si>
    <t xml:space="preserve">Resumen</t>
  </si>
  <si>
    <t xml:space="preserve">Indicadores de la última ejecución, incidencias por severidad y resultado preliminar según la regla de decisión del plan (sección 5.4).</t>
  </si>
  <si>
    <t xml:space="preserve">Solo la celda amarilla con el N.º de la ejecución unitaria de referencia. El resto se calcula.</t>
  </si>
  <si>
    <t xml:space="preserve">Ejecuciones</t>
  </si>
  <si>
    <t xml:space="preserve">Una fila por ejecución, unitaria o manual: fecha, commit, responsable, totales y cobertura.</t>
  </si>
  <si>
    <t xml:space="preserve">Agregar una fila por ejecución. En las unitarias, los totales se calculan desde la columna correspondiente de «Resultados UT».</t>
  </si>
  <si>
    <t xml:space="preserve">Resultados UT</t>
  </si>
  <si>
    <t xml:space="preserve">Resultado de cada prueba unitaria del plan en cada ejecución.</t>
  </si>
  <si>
    <t xml:space="preserve">Completar la columna de la nueva ejecución con Pass, Fail o N/A, a partir del log de Karma.</t>
  </si>
  <si>
    <t xml:space="preserve">Resultados QA</t>
  </si>
  <si>
    <t xml:space="preserve">Resultado de cada caso manual en el ciclo 1 y en la regresión.</t>
  </si>
  <si>
    <t xml:space="preserve">Resultado, fecha, ejecutor, dispositivo, evidencia e incidencia de cada caso ejecutado.</t>
  </si>
  <si>
    <t xml:space="preserve">Tiempos</t>
  </si>
  <si>
    <t xml:space="preserve">Cinco mediciones por operación para el criterio CS-15.</t>
  </si>
  <si>
    <t xml:space="preserve">Las mediciones en segundos; el promedio y el cumplimiento se calculan.</t>
  </si>
  <si>
    <t xml:space="preserve">Cada caso en Fail genera una incidencia, con su ciclo de vida: Abierta → En corrección → Corregida → Verificada → Cerrada (o Aceptada, con justificación).</t>
  </si>
  <si>
    <t xml:space="preserve">Una fila por incidencia; actualizar el estado, el commit de corrección y la ejecución en que se verificó.</t>
  </si>
  <si>
    <t xml:space="preserve">Criterios</t>
  </si>
  <si>
    <t xml:space="preserve">Estado de cada criterio de salida del plan.</t>
  </si>
  <si>
    <t xml:space="preserve">Los valores se calculan cuando es posible; las celdas amarillas se completan a mano.</t>
  </si>
  <si>
    <t xml:space="preserve">Cobertura</t>
  </si>
  <si>
    <t xml:space="preserve">Cobertura de código por carpeta de cada ejecución unitaria, según el reporte HTML de Karma.</t>
  </si>
  <si>
    <t xml:space="preserve">Una fila por carpeta y ejecución con los valores cubiertos y totales; los porcentajes se calculan.</t>
  </si>
  <si>
    <t xml:space="preserve">Decisiones</t>
  </si>
  <si>
    <t xml:space="preserve">Puntos en que el plan y el código difieren y el equipo debe decidir.</t>
  </si>
  <si>
    <t xml:space="preserve">La decisión, la fecha y el responsable.</t>
  </si>
  <si>
    <t xml:space="preserve">Convenciones</t>
  </si>
  <si>
    <t xml:space="preserve">Celda amarilla</t>
  </si>
  <si>
    <t xml:space="preserve">Dato que se completa a mano. Las celdas sin color contienen datos ya registrados o fórmulas.</t>
  </si>
  <si>
    <t xml:space="preserve">Resultados</t>
  </si>
  <si>
    <t xml:space="preserve">Pass, Fail, Bloqueado (no se pudo ejecutar, con justificación), No ejecutado, N/A (la prueba no existía en esa ejecución).</t>
  </si>
  <si>
    <t xml:space="preserve">Fuente</t>
  </si>
  <si>
    <t xml:space="preserve">Ejecuciones 0 y 1 cargadas desde el log de Karma (docs/pruebas/evidencias/ut-ejecucion-2026-10-11.txt) y el reporte de cobertura de Karma (coverage/app/index.html).</t>
  </si>
  <si>
    <t xml:space="preserve">Una fila por ejecución. En las unitarias, Pass/Fail/Bloqueado se calculan desde la columna de esa ejecución en «Resultados UT».</t>
  </si>
  <si>
    <t xml:space="preserve">N.º</t>
  </si>
  <si>
    <t xml:space="preserve">Tipo</t>
  </si>
  <si>
    <t xml:space="preserve">Alcance</t>
  </si>
  <si>
    <t xml:space="preserve">Rama</t>
  </si>
  <si>
    <t xml:space="preserve">Commit</t>
  </si>
  <si>
    <t xml:space="preserve">Responsable</t>
  </si>
  <si>
    <t xml:space="preserve">Entorno</t>
  </si>
  <si>
    <t xml:space="preserve">Bloqueado</t>
  </si>
  <si>
    <t xml:space="preserve">Cob. líneas global</t>
  </si>
  <si>
    <t xml:space="preserve">Cob. ramas global</t>
  </si>
  <si>
    <t xml:space="preserve">Cob. líneas core/</t>
  </si>
  <si>
    <t xml:space="preserve">Evidencia</t>
  </si>
  <si>
    <t xml:space="preserve">Observaciones</t>
  </si>
  <si>
    <t xml:space="preserve">11-10-2026</t>
  </si>
  <si>
    <t xml:space="preserve">Unitaria</t>
  </si>
  <si>
    <t xml:space="preserve">Suite existente sin modificar (línea base).</t>
  </si>
  <si>
    <t xml:space="preserve">tests-logs</t>
  </si>
  <si>
    <t xml:space="preserve">a3b3dfa</t>
  </si>
  <si>
    <t xml:space="preserve">Karma + Chrome (Windows 10)</t>
  </si>
  <si>
    <t xml:space="preserve">Salida de consola de ng test (no se guardó archivo).</t>
  </si>
  <si>
    <t xml:space="preserve">10 fallas por configuración de las pruebas (H-01 a H-03). Cobertura no medida.</t>
  </si>
  <si>
    <t xml:space="preserve">Casos UT del plan implementados, sin reparar aún la configuración de la suite existente.</t>
  </si>
  <si>
    <t xml:space="preserve">a3b3dfa + cambios sin commit</t>
  </si>
  <si>
    <t xml:space="preserve">Karma 6.4.4 + Chrome Headless 155 (Windows 10), Node 22.17.1, Angular CLI 20.3.28</t>
  </si>
  <si>
    <t xml:space="preserve">docs/pruebas/evidencias/ut-ejecucion-2026-10-11.txt; coverage/app/index.html (no versionado; cifras en la hoja Cobertura)</t>
  </si>
  <si>
    <t xml:space="preserve">7 defectos de la aplicación (H-04 a H-10), 9 fallas de configuración (H-01 a H-03), 2 decisiones pendientes (D-01, D-02) y 1 caso a reformular (UT-MED-06).</t>
  </si>
  <si>
    <t xml:space="preserve">12-10-2026</t>
  </si>
  <si>
    <t xml:space="preserve">E2E</t>
  </si>
  <si>
    <t xml:space="preserve">Casos manuales QA-01 a QA-29 automatizados con Playwright; QA-05 queda manual.</t>
  </si>
  <si>
    <t xml:space="preserve">feature/e2e-playwright</t>
  </si>
  <si>
    <t xml:space="preserve">1d11b24 + cambios sin commit (e2e/)</t>
  </si>
  <si>
    <t xml:space="preserve">Playwright 1.64.0, Chromium con emulación de Pixel 7, ionic serve; proyecto real de Supabase con datos E2E-</t>
  </si>
  <si>
    <t xml:space="preserve">docs/pruebas/evidencias/e2e-2026-10-12/ (resultados.json e index.html); Evidencias_Ejecucion_Pruebas_CultureGo.docx, sección 4</t>
  </si>
  <si>
    <t xml:space="preserve">8 defectos de la aplicación (H-11 a H-18; H-08 confirmado), 1 defecto de prueba (H-19), 7 decisiones (D-05 a D-11). En el catálogo real hay un lugar llamado «prueba 1» que no es de las pruebas.</t>
  </si>
  <si>
    <t xml:space="preserve">Para una nueva ejecución unitaria, copiar las fórmulas de I a M de la fila anterior y cambiar la columna de «Resultados UT» (Ej. 2 = H, Ej. 3 = I, Ej. 4 = J). Para una ejecución manual o E2E, los totales se cuentan desde la columna de resultado de ese ciclo en «Resultados QA» (C1 = F, regresión = L).</t>
  </si>
  <si>
    <t xml:space="preserve">Las columnas de cobertura se calculan desde la hoja Cobertura (core/ = carpetas src/app/core/*). En una nueva ejecución, copiar las fórmulas de N a P de la fila anterior.</t>
  </si>
  <si>
    <t xml:space="preserve">Resultados de pruebas unitarias</t>
  </si>
  <si>
    <t xml:space="preserve">Una columna por ejecución. N/A: la prueba no existía en esa ejecución.</t>
  </si>
  <si>
    <t xml:space="preserve">ID</t>
  </si>
  <si>
    <t xml:space="preserve">Sección del plan</t>
  </si>
  <si>
    <t xml:space="preserve">Módulo</t>
  </si>
  <si>
    <t xml:space="preserve">Archivo de prueba</t>
  </si>
  <si>
    <t xml:space="preserve">Ej. 0</t>
  </si>
  <si>
    <t xml:space="preserve">Ej. 1</t>
  </si>
  <si>
    <t xml:space="preserve">Ej. 2</t>
  </si>
  <si>
    <t xml:space="preserve">Ej. 3</t>
  </si>
  <si>
    <t xml:space="preserve">Ej. 4</t>
  </si>
  <si>
    <t xml:space="preserve">Incidencia</t>
  </si>
  <si>
    <t xml:space="preserve">Observación</t>
  </si>
  <si>
    <t xml:space="preserve">UT-GRD-01</t>
  </si>
  <si>
    <t xml:space="preserve">3.1</t>
  </si>
  <si>
    <t xml:space="preserve">Guards</t>
  </si>
  <si>
    <t xml:space="preserve">Positivo</t>
  </si>
  <si>
    <t xml:space="preserve">auth-guard.spec.ts</t>
  </si>
  <si>
    <t xml:space="preserve">N/A</t>
  </si>
  <si>
    <t xml:space="preserve">UT-GRD-02</t>
  </si>
  <si>
    <t xml:space="preserve">Negativo</t>
  </si>
  <si>
    <t xml:space="preserve">UT-GRD-03</t>
  </si>
  <si>
    <t xml:space="preserve">Límite</t>
  </si>
  <si>
    <t xml:space="preserve">UT-GRD-04</t>
  </si>
  <si>
    <t xml:space="preserve">H-05</t>
  </si>
  <si>
    <t xml:space="preserve">UT-GRD-05</t>
  </si>
  <si>
    <t xml:space="preserve">admin-guard.spec.ts</t>
  </si>
  <si>
    <t xml:space="preserve">UT-GRD-06</t>
  </si>
  <si>
    <t xml:space="preserve">UT-GRD-07</t>
  </si>
  <si>
    <t xml:space="preserve">UT-GRD-08</t>
  </si>
  <si>
    <t xml:space="preserve">UT-AUTH-01</t>
  </si>
  <si>
    <t xml:space="preserve">3.2</t>
  </si>
  <si>
    <t xml:space="preserve">Auth</t>
  </si>
  <si>
    <t xml:space="preserve">auth.spec.ts</t>
  </si>
  <si>
    <t xml:space="preserve">UT-AUTH-02</t>
  </si>
  <si>
    <t xml:space="preserve">UT-AUTH-03</t>
  </si>
  <si>
    <t xml:space="preserve">Decisión pendiente (D-01).</t>
  </si>
  <si>
    <t xml:space="preserve">UT-AUTH-04</t>
  </si>
  <si>
    <t xml:space="preserve">UT-AUTH-05</t>
  </si>
  <si>
    <t xml:space="preserve">H-04</t>
  </si>
  <si>
    <t xml:space="preserve">UT-AUTH-06</t>
  </si>
  <si>
    <t xml:space="preserve">UT-AUTH-07</t>
  </si>
  <si>
    <t xml:space="preserve">UT-AUTH-08</t>
  </si>
  <si>
    <t xml:space="preserve">UT-AUTH-09</t>
  </si>
  <si>
    <t xml:space="preserve">UT-AUTH-10</t>
  </si>
  <si>
    <t xml:space="preserve">UT-AUTH-11</t>
  </si>
  <si>
    <t xml:space="preserve">UT-AUTH-12</t>
  </si>
  <si>
    <t xml:space="preserve">UT-GAM-01</t>
  </si>
  <si>
    <t xml:space="preserve">3.3</t>
  </si>
  <si>
    <t xml:space="preserve">Gamificacion</t>
  </si>
  <si>
    <t xml:space="preserve">gamificacion.spec.ts</t>
  </si>
  <si>
    <t xml:space="preserve">UT-GAM-02</t>
  </si>
  <si>
    <t xml:space="preserve">UT-GAM-03</t>
  </si>
  <si>
    <t xml:space="preserve">UT-GAM-04</t>
  </si>
  <si>
    <t xml:space="preserve">UT-GAM-05</t>
  </si>
  <si>
    <t xml:space="preserve">UT-GAM-06</t>
  </si>
  <si>
    <t xml:space="preserve">UT-GAM-07</t>
  </si>
  <si>
    <t xml:space="preserve">UT-GAM-08</t>
  </si>
  <si>
    <t xml:space="preserve">UT-GAM-09</t>
  </si>
  <si>
    <t xml:space="preserve">UT-GAM-10</t>
  </si>
  <si>
    <t xml:space="preserve">UT-MED-01</t>
  </si>
  <si>
    <t xml:space="preserve">3.4</t>
  </si>
  <si>
    <t xml:space="preserve">Medallas</t>
  </si>
  <si>
    <t xml:space="preserve">medallas.component.spec.ts</t>
  </si>
  <si>
    <t xml:space="preserve">UT-MED-02</t>
  </si>
  <si>
    <t xml:space="preserve">UT-MED-03</t>
  </si>
  <si>
    <t xml:space="preserve">UT-MED-04</t>
  </si>
  <si>
    <t xml:space="preserve">UT-MED-05</t>
  </si>
  <si>
    <t xml:space="preserve">UT-MED-06</t>
  </si>
  <si>
    <t xml:space="preserve">Caso reformulado en el plan v2.0; el spec debe ajustarse.</t>
  </si>
  <si>
    <t xml:space="preserve">UT-MED-07</t>
  </si>
  <si>
    <t xml:space="preserve">H-09</t>
  </si>
  <si>
    <t xml:space="preserve">UT-MED-08</t>
  </si>
  <si>
    <t xml:space="preserve">UT-MED-09</t>
  </si>
  <si>
    <t xml:space="preserve">Decisión pendiente (D-02).</t>
  </si>
  <si>
    <t xml:space="preserve">UT-MED-10</t>
  </si>
  <si>
    <t xml:space="preserve">UT-MED-11</t>
  </si>
  <si>
    <t xml:space="preserve">UT-ERR-01</t>
  </si>
  <si>
    <t xml:space="preserve">3.5</t>
  </si>
  <si>
    <t xml:space="preserve">Traductores de error</t>
  </si>
  <si>
    <t xml:space="preserve">traducir-error-auth.spec.ts</t>
  </si>
  <si>
    <t xml:space="preserve">UT-ERR-02</t>
  </si>
  <si>
    <t xml:space="preserve">UT-ERR-03</t>
  </si>
  <si>
    <t xml:space="preserve">UT-ERR-04</t>
  </si>
  <si>
    <t xml:space="preserve">UT-ERR-05</t>
  </si>
  <si>
    <t xml:space="preserve">UT-ERR-06</t>
  </si>
  <si>
    <t xml:space="preserve">H-06</t>
  </si>
  <si>
    <t xml:space="preserve">UT-ERR-07</t>
  </si>
  <si>
    <t xml:space="preserve">H-07</t>
  </si>
  <si>
    <t xml:space="preserve">UT-ERR-08</t>
  </si>
  <si>
    <t xml:space="preserve">UT-ERR-09</t>
  </si>
  <si>
    <t xml:space="preserve">UT-ERR-10</t>
  </si>
  <si>
    <t xml:space="preserve">detalle-lugar.component.spec.ts</t>
  </si>
  <si>
    <t xml:space="preserve">UT-ERR-11</t>
  </si>
  <si>
    <t xml:space="preserve">UT-ERR-12</t>
  </si>
  <si>
    <t xml:space="preserve">UT-ERR-13</t>
  </si>
  <si>
    <t xml:space="preserve">UT-ERR-14</t>
  </si>
  <si>
    <t xml:space="preserve">UT-ERR-15</t>
  </si>
  <si>
    <t xml:space="preserve">UT-ERR-16</t>
  </si>
  <si>
    <t xml:space="preserve">UT-CMP-04</t>
  </si>
  <si>
    <t xml:space="preserve">3.6</t>
  </si>
  <si>
    <t xml:space="preserve">Componentes</t>
  </si>
  <si>
    <t xml:space="preserve">UT-CMP-01</t>
  </si>
  <si>
    <t xml:space="preserve">reportar-problema.component.spec.ts</t>
  </si>
  <si>
    <t xml:space="preserve">UT-CMP-02</t>
  </si>
  <si>
    <t xml:space="preserve">sugerir-lugar.component.spec.ts</t>
  </si>
  <si>
    <t xml:space="preserve">UT-CMP-03</t>
  </si>
  <si>
    <t xml:space="preserve">gestion-lugares.component.spec.ts</t>
  </si>
  <si>
    <t xml:space="preserve">UT-CMP-03b</t>
  </si>
  <si>
    <t xml:space="preserve">H-08</t>
  </si>
  <si>
    <t xml:space="preserve">UT-SUP-01</t>
  </si>
  <si>
    <t xml:space="preserve">Supabase</t>
  </si>
  <si>
    <t xml:space="preserve">supabase.spec.ts</t>
  </si>
  <si>
    <t xml:space="preserve">Crea el cliente real de Supabase (D-04).</t>
  </si>
  <si>
    <t xml:space="preserve">UT-LUG-01</t>
  </si>
  <si>
    <t xml:space="preserve">Lugares</t>
  </si>
  <si>
    <t xml:space="preserve">lugares.spec.ts</t>
  </si>
  <si>
    <t xml:space="preserve">UT-LUG-02</t>
  </si>
  <si>
    <t xml:space="preserve">UT-LUG-03</t>
  </si>
  <si>
    <t xml:space="preserve">H-10</t>
  </si>
  <si>
    <t xml:space="preserve">UT-LUG-04</t>
  </si>
  <si>
    <t xml:space="preserve">UT-CAT-01</t>
  </si>
  <si>
    <t xml:space="preserve">Categorias / Comunas</t>
  </si>
  <si>
    <t xml:space="preserve">categorias.spec.ts</t>
  </si>
  <si>
    <t xml:space="preserve">UT-CAT-02</t>
  </si>
  <si>
    <t xml:space="preserve">UT-CAT-01b</t>
  </si>
  <si>
    <t xml:space="preserve">comunas.spec.ts</t>
  </si>
  <si>
    <t xml:space="preserve">UT-CAT-02b</t>
  </si>
  <si>
    <t xml:space="preserve">UT-ADM-01</t>
  </si>
  <si>
    <t xml:space="preserve">Admin</t>
  </si>
  <si>
    <t xml:space="preserve">admin.spec.ts</t>
  </si>
  <si>
    <t xml:space="preserve">UT-ADM-01b</t>
  </si>
  <si>
    <t xml:space="preserve">UT-ADM-02</t>
  </si>
  <si>
    <t xml:space="preserve">UT-ADM-03</t>
  </si>
  <si>
    <t xml:space="preserve">UT-ADM-04</t>
  </si>
  <si>
    <t xml:space="preserve">UT-PER-01</t>
  </si>
  <si>
    <t xml:space="preserve">3.7.1</t>
  </si>
  <si>
    <t xml:space="preserve">PaginaPerfil</t>
  </si>
  <si>
    <t xml:space="preserve">pagina-perfil.component.spec.ts</t>
  </si>
  <si>
    <t xml:space="preserve">UT-PER-02</t>
  </si>
  <si>
    <t xml:space="preserve">UT-INI-01</t>
  </si>
  <si>
    <t xml:space="preserve">PaginaInicio</t>
  </si>
  <si>
    <t xml:space="preserve">pagina-inicio.component.spec.ts</t>
  </si>
  <si>
    <t xml:space="preserve">UT-CFG-01</t>
  </si>
  <si>
    <t xml:space="preserve">Configuracion</t>
  </si>
  <si>
    <t xml:space="preserve">configuracion.component.spec.ts</t>
  </si>
  <si>
    <t xml:space="preserve">H-01</t>
  </si>
  <si>
    <t xml:space="preserve">UT-CFG-02</t>
  </si>
  <si>
    <t xml:space="preserve">UT-REG-01</t>
  </si>
  <si>
    <t xml:space="preserve">Registro</t>
  </si>
  <si>
    <t xml:space="preserve">registro.component.spec.ts</t>
  </si>
  <si>
    <t xml:space="preserve">H-02</t>
  </si>
  <si>
    <t xml:space="preserve">UT-TYC-01</t>
  </si>
  <si>
    <t xml:space="preserve">TerminosCondiciones</t>
  </si>
  <si>
    <t xml:space="preserve">terminos-condiciones.component.spec.ts</t>
  </si>
  <si>
    <t xml:space="preserve">UT-SMK-01</t>
  </si>
  <si>
    <t xml:space="preserve">3.7.2</t>
  </si>
  <si>
    <t xml:space="preserve">Smoke</t>
  </si>
  <si>
    <t xml:space="preserve">app.component.spec.ts</t>
  </si>
  <si>
    <t xml:space="preserve">UT-SMK-02</t>
  </si>
  <si>
    <t xml:space="preserve">UT-SMK-03</t>
  </si>
  <si>
    <t xml:space="preserve">UT-SMK-04</t>
  </si>
  <si>
    <t xml:space="preserve">UT-SMK-05</t>
  </si>
  <si>
    <t xml:space="preserve">UT-SMK-06</t>
  </si>
  <si>
    <t xml:space="preserve">UT-SMK-07</t>
  </si>
  <si>
    <t xml:space="preserve">UT-SMK-08</t>
  </si>
  <si>
    <t xml:space="preserve">UT-SMK-09</t>
  </si>
  <si>
    <t xml:space="preserve">UT-SMK-10</t>
  </si>
  <si>
    <t xml:space="preserve">UT-SMK-11</t>
  </si>
  <si>
    <t xml:space="preserve">UT-SMK-12</t>
  </si>
  <si>
    <t xml:space="preserve">login.component.spec.ts</t>
  </si>
  <si>
    <t xml:space="preserve">UT-SMK-13</t>
  </si>
  <si>
    <t xml:space="preserve">recuperar-password.component.spec.ts</t>
  </si>
  <si>
    <t xml:space="preserve">UT-SMK-14</t>
  </si>
  <si>
    <t xml:space="preserve">UT-SMK-15</t>
  </si>
  <si>
    <t xml:space="preserve">restablecer-password.component.spec.ts</t>
  </si>
  <si>
    <t xml:space="preserve">UT-SMK-16</t>
  </si>
  <si>
    <t xml:space="preserve">UT-SMK-17</t>
  </si>
  <si>
    <t xml:space="preserve">lista-lugares.component.spec.ts</t>
  </si>
  <si>
    <t xml:space="preserve">UT-SMK-18</t>
  </si>
  <si>
    <t xml:space="preserve">Corregido en la ejecución 1 al reescribirse el spec de Medallas.</t>
  </si>
  <si>
    <t xml:space="preserve">UT-SMK-19</t>
  </si>
  <si>
    <t xml:space="preserve">UT-SMK-20</t>
  </si>
  <si>
    <t xml:space="preserve">pagina-mapa.component.spec.ts</t>
  </si>
  <si>
    <t xml:space="preserve">UT-SMK-21</t>
  </si>
  <si>
    <t xml:space="preserve">UT-SMK-22</t>
  </si>
  <si>
    <t xml:space="preserve">mis-tickets.component.spec.ts</t>
  </si>
  <si>
    <t xml:space="preserve">UT-SMK-23</t>
  </si>
  <si>
    <t xml:space="preserve">UT-SMK-24</t>
  </si>
  <si>
    <t xml:space="preserve">UT-SMK-25</t>
  </si>
  <si>
    <t xml:space="preserve">UT-SMK-26</t>
  </si>
  <si>
    <t xml:space="preserve">tabs.component.spec.ts</t>
  </si>
  <si>
    <t xml:space="preserve">H-03</t>
  </si>
  <si>
    <t xml:space="preserve">UT-SMK-27</t>
  </si>
  <si>
    <t xml:space="preserve">Resultados de pruebas manuales</t>
  </si>
  <si>
    <t xml:space="preserve">Ciclo 1: primera ejecución completa. Regresión: nueva ejecución de los casos Críticos y de los afectados por correcciones.</t>
  </si>
  <si>
    <t xml:space="preserve">Sección</t>
  </si>
  <si>
    <t xml:space="preserve">Caso</t>
  </si>
  <si>
    <t xml:space="preserve">Prioridad</t>
  </si>
  <si>
    <t xml:space="preserve">Requisitos</t>
  </si>
  <si>
    <t xml:space="preserve">C1 Resultado</t>
  </si>
  <si>
    <t xml:space="preserve">C1 Fecha</t>
  </si>
  <si>
    <t xml:space="preserve">C1 Ejecutor</t>
  </si>
  <si>
    <t xml:space="preserve">C1 Dispositivo / SO</t>
  </si>
  <si>
    <t xml:space="preserve">C1 Evidencia</t>
  </si>
  <si>
    <t xml:space="preserve">C1 Incidencia</t>
  </si>
  <si>
    <t xml:space="preserve">Reg. Resultado</t>
  </si>
  <si>
    <t xml:space="preserve">Reg. Fecha</t>
  </si>
  <si>
    <t xml:space="preserve">Reg. Ejecutor</t>
  </si>
  <si>
    <t xml:space="preserve">Reg. Evidencia</t>
  </si>
  <si>
    <t xml:space="preserve">Reg. Incidencia</t>
  </si>
  <si>
    <t xml:space="preserve">Resultado vigente</t>
  </si>
  <si>
    <t xml:space="preserve">C1 Resultado obtenido / observación</t>
  </si>
  <si>
    <t xml:space="preserve">QA-01</t>
  </si>
  <si>
    <t xml:space="preserve">4.2</t>
  </si>
  <si>
    <t xml:space="preserve">Registro exitoso</t>
  </si>
  <si>
    <t xml:space="preserve">Crítico</t>
  </si>
  <si>
    <t xml:space="preserve">RF-01, RF-21</t>
  </si>
  <si>
    <t xml:space="preserve">Playwright (automatizado)</t>
  </si>
  <si>
    <t xml:space="preserve">Chromium · emulación Pixel 7 (web)</t>
  </si>
  <si>
    <t xml:space="preserve">EV-QA-01 (Evidencias, sección 4)</t>
  </si>
  <si>
    <t xml:space="preserve">H-18</t>
  </si>
  <si>
    <t xml:space="preserve">El registro se completa y se muestra «Te enviamos un correo para confirmar tu cuenta», pero en 2,4 s (umbral 2 s). Como el proyecto exige confirmar el correo, la cuenta se confirmó con la service role para usarla en QA-07.</t>
  </si>
  <si>
    <t xml:space="preserve">QA-02</t>
  </si>
  <si>
    <t xml:space="preserve">Validaciones del registro</t>
  </si>
  <si>
    <t xml:space="preserve">RF-01, RF-21, RN-01, RN-02</t>
  </si>
  <si>
    <t xml:space="preserve">EV-QA-02 (Evidencias, sección 4)</t>
  </si>
  <si>
    <t xml:space="preserve">H-11</t>
  </si>
  <si>
    <t xml:space="preserve">Con el correo de U1, la app muestra «Te enviamos un correo para confirmar tu cuenta» en lugar de indicar que el correo ya está registrado. Sin aceptar los términos, el botón «Crear cuenta» queda deshabilitado. Los pasos posteriores a la primera verificación fallida no se evaluaron.</t>
  </si>
  <si>
    <t xml:space="preserve">QA-03</t>
  </si>
  <si>
    <t xml:space="preserve">Inicio de sesión correcto e incorrecto</t>
  </si>
  <si>
    <t xml:space="preserve">RF-02</t>
  </si>
  <si>
    <t xml:space="preserve">EV-QA-03 (Evidencias, sección 4)</t>
  </si>
  <si>
    <t xml:space="preserve">Con la contraseña incorrecta se muestra «Correo o contraseña incorrectos.»; con la correcta se llega a Inicio con el saludo en menos de 0,9 s.</t>
  </si>
  <si>
    <t xml:space="preserve">QA-04</t>
  </si>
  <si>
    <t xml:space="preserve">Persistencia y cierre de sesión</t>
  </si>
  <si>
    <t xml:space="preserve">Secundario</t>
  </si>
  <si>
    <t xml:space="preserve">EV-QA-04 (Evidencias, sección 4)</t>
  </si>
  <si>
    <t xml:space="preserve">La sesión se mantiene al recargar. Tras cerrar sesión, abrir Perfil redirige a /auth/login con redirectTo.</t>
  </si>
  <si>
    <t xml:space="preserve">QA-05</t>
  </si>
  <si>
    <t xml:space="preserve">Recuperación de contraseña</t>
  </si>
  <si>
    <t xml:space="preserve">RF-13</t>
  </si>
  <si>
    <t xml:space="preserve">No ejecutado: requiere abrir el enlace de un correo real. Pendiente de ejecución manual.</t>
  </si>
  <si>
    <t xml:space="preserve">QA-06</t>
  </si>
  <si>
    <t xml:space="preserve">Edición de nombre y términos desde Configuración</t>
  </si>
  <si>
    <t xml:space="preserve">RF-03, RF-20, RF-21</t>
  </si>
  <si>
    <t xml:space="preserve">EV-QA-06 (Evidencias, sección 4)</t>
  </si>
  <si>
    <t xml:space="preserve">El nombre se guardó en 1,07 s y se mantuvo al recargar; los Términos se abrieron en 0,26 s.</t>
  </si>
  <si>
    <t xml:space="preserve">QA-07</t>
  </si>
  <si>
    <t xml:space="preserve">Eliminación de cuenta</t>
  </si>
  <si>
    <t xml:space="preserve">RF-22, RN-11</t>
  </si>
  <si>
    <t xml:space="preserve">EV-QA-07 (Evidencias, sección 4)</t>
  </si>
  <si>
    <t xml:space="preserve">H-19</t>
  </si>
  <si>
    <t xml:space="preserve">Cancelar no eliminó la cuenta. Al confirmar, la app llevó al inicio de sesión y no a Inicio, como suponía la prueba; la prueba se detuvo ahí y no alcanzó a verificar el borrado en la base de datos ni el rechazo del login.</t>
  </si>
  <si>
    <t xml:space="preserve">QA-08</t>
  </si>
  <si>
    <t xml:space="preserve">4.3</t>
  </si>
  <si>
    <t xml:space="preserve">Catálogo y filtros</t>
  </si>
  <si>
    <t xml:space="preserve">RF-04 a RF-07, RF-12, RNF-01, RNF-03</t>
  </si>
  <si>
    <t xml:space="preserve">EV-QA-08 (Evidencias, sección 4)</t>
  </si>
  <si>
    <t xml:space="preserve">H-12, H-18, D-11</t>
  </si>
  <si>
    <t xml:space="preserve">El catálogo carga en unos 0,26 s y llega a la ficha de un lugar desde Inicio. Las tarjetas no muestran el tipo y los lugares pagados no indican su condición. El filtro por comuna tardó 1,1 s (umbral 1 s). Sin coincidencias aparece «No encontramos lugares con estos filtros.», con otra redacción que la del plan.</t>
  </si>
  <si>
    <t xml:space="preserve">QA-09</t>
  </si>
  <si>
    <t xml:space="preserve">Mapa con marcadores y filtros</t>
  </si>
  <si>
    <t xml:space="preserve">RF-08, RF-09, RNF-04</t>
  </si>
  <si>
    <t xml:space="preserve">EV-QA-09 (Evidencias, sección 4)</t>
  </si>
  <si>
    <t xml:space="preserve">H-16</t>
  </si>
  <si>
    <t xml:space="preserve">Los marcadores aparecen en 0,17 s y los filtros se aplican entre 0,12 y 0,24 s. Con una combinación sin coincidencias el mapa queda sin marcadores, pero no se muestra ningún aviso.</t>
  </si>
  <si>
    <t xml:space="preserve">QA-10</t>
  </si>
  <si>
    <t xml:space="preserve">Mapa sin permiso de ubicación</t>
  </si>
  <si>
    <t xml:space="preserve">RF-08, RNF-15</t>
  </si>
  <si>
    <t xml:space="preserve">EV-QA-10 (Evidencias, sección 4)</t>
  </si>
  <si>
    <t xml:space="preserve">H-13</t>
  </si>
  <si>
    <t xml:space="preserve">Con el permiso denegado, el mapa y el catálogo funcionan, pero la app no muestra un mensaje que explique el uso de la ubicación antes de solicitarla.</t>
  </si>
  <si>
    <t xml:space="preserve">QA-11</t>
  </si>
  <si>
    <t xml:space="preserve">4.4</t>
  </si>
  <si>
    <t xml:space="preserve">Visita sin sesión y retorno tras login</t>
  </si>
  <si>
    <t xml:space="preserve">RF-14, RF-02</t>
  </si>
  <si>
    <t xml:space="preserve">EV-QA-11 (Evidencias, sección 4)</t>
  </si>
  <si>
    <t xml:space="preserve">Sin sesión, «Registrar visita» lleva a /auth/login con redirectTo; el intento fallido lo conserva y, tras el login, la app vuelve al detalle de E2E-L1.</t>
  </si>
  <si>
    <t xml:space="preserve">QA-12</t>
  </si>
  <si>
    <t xml:space="preserve">redirectTo hacia sitio externo</t>
  </si>
  <si>
    <t xml:space="preserve">EV-QA-12 (Evidencias, sección 4)</t>
  </si>
  <si>
    <t xml:space="preserve">Con redirectTo hacia un sitio externo, tras el login la app navega a /tabs/inicio.</t>
  </si>
  <si>
    <t xml:space="preserve">QA-13</t>
  </si>
  <si>
    <t xml:space="preserve">Visita fuera del radio</t>
  </si>
  <si>
    <t xml:space="preserve">RF-14, RN-03</t>
  </si>
  <si>
    <t xml:space="preserve">EV-QA-13 (Evidencias, sección 4)</t>
  </si>
  <si>
    <t xml:space="preserve">Se muestra «Estás a 5.6 km del lugar. Acércate para registrar tu visita.» y no se crea la visita.</t>
  </si>
  <si>
    <t xml:space="preserve">QA-14</t>
  </si>
  <si>
    <t xml:space="preserve">Visita válida, medalla e historial</t>
  </si>
  <si>
    <t xml:space="preserve">RF-14, RF-15, RF-16, RN-05, RN-06</t>
  </si>
  <si>
    <t xml:space="preserve">EV-QA-14 (Evidencias, sección 4)</t>
  </si>
  <si>
    <t xml:space="preserve">H-15</t>
  </si>
  <si>
    <t xml:space="preserve">La visita se registra en 0,34 s, la medalla «Explorador urbano» se otorga en la base de datos y aparece en el perfil y en el historial, pero no se notifica al usuario al obtenerla.</t>
  </si>
  <si>
    <t xml:space="preserve">QA-15</t>
  </si>
  <si>
    <t xml:space="preserve">Período de enfriamiento</t>
  </si>
  <si>
    <t xml:space="preserve">RF-14, RN-04</t>
  </si>
  <si>
    <t xml:space="preserve">EV-QA-15 (Evidencias, sección 4)</t>
  </si>
  <si>
    <t xml:space="preserve">El segundo intento se rechaza por visita reciente; el contador de lugares y las medallas no cambian.</t>
  </si>
  <si>
    <t xml:space="preserve">QA-16</t>
  </si>
  <si>
    <t xml:space="preserve">Visita sin permiso de ubicación</t>
  </si>
  <si>
    <t xml:space="preserve">RF-14</t>
  </si>
  <si>
    <t xml:space="preserve">EV-QA-16 (Evidencias, sección 4)</t>
  </si>
  <si>
    <t xml:space="preserve">Se muestra «Activa la ubicación para poder registrar tu visita.» y no se crea la visita.</t>
  </si>
  <si>
    <t xml:space="preserve">QA-17</t>
  </si>
  <si>
    <t xml:space="preserve">4.5</t>
  </si>
  <si>
    <t xml:space="preserve">Crear reseña y visibilidad para otros</t>
  </si>
  <si>
    <t xml:space="preserve">—</t>
  </si>
  <si>
    <t xml:space="preserve">EV-QA-17 (Evidencias, sección 4)</t>
  </si>
  <si>
    <t xml:space="preserve">D-09</t>
  </si>
  <si>
    <t xml:space="preserve">Con el comentario vacío el botón «Publicar reseña» está habilitado: la app marca el comentario como opcional. La reseña válida se publicó y U2 la ve sin opciones para editarla.</t>
  </si>
  <si>
    <t xml:space="preserve">QA-18</t>
  </si>
  <si>
    <t xml:space="preserve">Editar reseña propia</t>
  </si>
  <si>
    <t xml:space="preserve">EV-QA-18 (Evidencias, sección 4)</t>
  </si>
  <si>
    <t xml:space="preserve">La reseña editada muestra los nuevos valores tras recargar y en la base hay una sola fila.</t>
  </si>
  <si>
    <t xml:space="preserve">QA-19</t>
  </si>
  <si>
    <t xml:space="preserve">4.6</t>
  </si>
  <si>
    <t xml:space="preserve">Personalizar y guardar avatar</t>
  </si>
  <si>
    <t xml:space="preserve">RF-26</t>
  </si>
  <si>
    <t xml:space="preserve">EV-QA-19 (Evidencias, sección 4)</t>
  </si>
  <si>
    <t xml:space="preserve">H-14, D-07</t>
  </si>
  <si>
    <t xml:space="preserve">El avatar se guarda en 0,2 s y se ve en Perfil, pero no en el encabezado de Inicio. La app ofrece Cabeza, Ojos, Boca y Cuerpo, sin accesorio ni color.</t>
  </si>
  <si>
    <t xml:space="preserve">QA-20</t>
  </si>
  <si>
    <t xml:space="preserve">Persistencia del avatar en Supabase</t>
  </si>
  <si>
    <t xml:space="preserve">EV-QA-20 (Evidencias, sección 4)</t>
  </si>
  <si>
    <t xml:space="preserve">El avatar se mantiene al borrar el almacenamiento local y en un contexto de navegador nuevo; la fila del avatar en la base coincide. La verificación del color no aplica porque la app no tiene ese control.</t>
  </si>
  <si>
    <t xml:space="preserve">QA-21</t>
  </si>
  <si>
    <t xml:space="preserve">Ítems bloqueados y desbloqueados</t>
  </si>
  <si>
    <t xml:space="preserve">RF-27, RN-14</t>
  </si>
  <si>
    <t xml:space="preserve">EV-QA-21 (Evidencias, sección 4)</t>
  </si>
  <si>
    <t xml:space="preserve">D-06</t>
  </si>
  <si>
    <t xml:space="preserve">No existen ítems bloqueados ni ítems asociados a medallas; la pantalla indica «Aún no has desbloqueado ninguna recompensa».</t>
  </si>
  <si>
    <t xml:space="preserve">QA-22</t>
  </si>
  <si>
    <t xml:space="preserve">4.7</t>
  </si>
  <si>
    <t xml:space="preserve">Modo oscuro</t>
  </si>
  <si>
    <t xml:space="preserve">RF-20, RNF-12</t>
  </si>
  <si>
    <t xml:space="preserve">EV-QA-22 (Evidencias, sección 4)</t>
  </si>
  <si>
    <t xml:space="preserve">D-11</t>
  </si>
  <si>
    <t xml:space="preserve">El modo oscuro se aplica y se mantiene al recargar en ambos sentidos. El interruptor está en Perfil, no en Configuración. La ausencia de destello al reabrir queda como verificación manual.</t>
  </si>
  <si>
    <t xml:space="preserve">QA-23</t>
  </si>
  <si>
    <t xml:space="preserve">4.8</t>
  </si>
  <si>
    <t xml:space="preserve">Acceso restringido al panel</t>
  </si>
  <si>
    <t xml:space="preserve">RF-10, RNF-07</t>
  </si>
  <si>
    <t xml:space="preserve">EV-QA-23 (Evidencias, sección 4)</t>
  </si>
  <si>
    <t xml:space="preserve">D-08</t>
  </si>
  <si>
    <t xml:space="preserve">U1 no ve el panel y ADM entra en 0,88 s. U1 termina en Inicio porque adminGuard redirige a /admin/login-admin, ruta que no existe.</t>
  </si>
  <si>
    <t xml:space="preserve">QA-24</t>
  </si>
  <si>
    <t xml:space="preserve">Crear lugar y validaciones</t>
  </si>
  <si>
    <t xml:space="preserve">RF-11, RNF-13</t>
  </si>
  <si>
    <t xml:space="preserve">EV-QA-24 (Evidencias, sección 4)</t>
  </si>
  <si>
    <t xml:space="preserve">H-08, H-17</t>
  </si>
  <si>
    <t xml:space="preserve">Con el nombre vacío el botón «Crear lugar» queda deshabilitado, pero no se indica qué dato falta. Una latitud de 95 se acepta (H-08). El lugar válido se guarda en 0,12 s y U1 lo ve en el catálogo y en el mapa.</t>
  </si>
  <si>
    <t xml:space="preserve">QA-25</t>
  </si>
  <si>
    <t xml:space="preserve">Editar lugar e imagen</t>
  </si>
  <si>
    <t xml:space="preserve">EV-QA-25 (Evidencias, sección 4)</t>
  </si>
  <si>
    <t xml:space="preserve">Los cambios de E2E-L1 se reflejan para U1. El PDF se rechaza. La imagen de 3.601.608 bytes se subió con 797.465 bytes (78 % menos). La nitidez queda como verificación manual.</t>
  </si>
  <si>
    <t xml:space="preserve">QA-26</t>
  </si>
  <si>
    <t xml:space="preserve">Eliminar lugar</t>
  </si>
  <si>
    <t xml:space="preserve">RF-11</t>
  </si>
  <si>
    <t xml:space="preserve">EV-QA-26 (Evidencias, sección 4)</t>
  </si>
  <si>
    <t xml:space="preserve">Se pide confirmación, aparece «Lugar eliminado.» y el lugar desaparece del catálogo y del mapa.</t>
  </si>
  <si>
    <t xml:space="preserve">QA-27</t>
  </si>
  <si>
    <t xml:space="preserve">Reportes y Mis tickets</t>
  </si>
  <si>
    <t xml:space="preserve">RF-17, RF-19, RF-23</t>
  </si>
  <si>
    <t xml:space="preserve">EV-QA-27 (Evidencias, sección 4)</t>
  </si>
  <si>
    <t xml:space="preserve">El reporte vacío se rechaza y el completo se envía en 0,24 s; ADM lo lleva a «Resuelto» y U1 ve ese estado en «Mis tickets».</t>
  </si>
  <si>
    <t xml:space="preserve">QA-28</t>
  </si>
  <si>
    <t xml:space="preserve">Sugerencias y Mis tickets</t>
  </si>
  <si>
    <t xml:space="preserve">RF-18, RF-19, RF-24, RN-12</t>
  </si>
  <si>
    <t xml:space="preserve">EV-QA-28 (Evidencias, sección 4)</t>
  </si>
  <si>
    <t xml:space="preserve">D-10</t>
  </si>
  <si>
    <t xml:space="preserve">Las sugerencias se envían (0,85 s y 0,12 s). Aprobar abre «Revisar y publicar», que publica el lugar en el catálogo; la prueba esperaba que la aprobación no creara un lugar y se detuvo en esa verificación.</t>
  </si>
  <si>
    <t xml:space="preserve">QA-29</t>
  </si>
  <si>
    <t xml:space="preserve">Protección de rol y RLS vía API</t>
  </si>
  <si>
    <t xml:space="preserve">RF-25, RNF-07, RN-07, RN-08</t>
  </si>
  <si>
    <t xml:space="preserve">EV-QA-29 (Evidencias, sección 4)</t>
  </si>
  <si>
    <t xml:space="preserve">D-05</t>
  </si>
  <si>
    <t xml:space="preserve">La API rechaza que U1 se asigne el rol de administrador (HTTP 400, sin filas afectadas) y que cree un lugar (HTTP 403). El panel no tiene una pantalla de gestión de usuarios, por lo que no se pudo verificar la asignación de rol por ADM.</t>
  </si>
  <si>
    <t xml:space="preserve">Mediciones de tiempo de respuesta (criterio CS-15)</t>
  </si>
  <si>
    <t xml:space="preserve">Cinco mediciones en segundos por operación, con WiFi o 4G. Se miden durante la ejecución de los casos indicados.</t>
  </si>
  <si>
    <t xml:space="preserve">Operación</t>
  </si>
  <si>
    <t xml:space="preserve">Requisito</t>
  </si>
  <si>
    <t xml:space="preserve">Umbral (s)</t>
  </si>
  <si>
    <t xml:space="preserve">Condición</t>
  </si>
  <si>
    <t xml:space="preserve">Med. 1</t>
  </si>
  <si>
    <t xml:space="preserve">Med. 2</t>
  </si>
  <si>
    <t xml:space="preserve">Med. 3</t>
  </si>
  <si>
    <t xml:space="preserve">Med. 4</t>
  </si>
  <si>
    <t xml:space="preserve">Med. 5</t>
  </si>
  <si>
    <t xml:space="preserve">Promedio (s)</t>
  </si>
  <si>
    <t xml:space="preserve">Cumple</t>
  </si>
  <si>
    <t xml:space="preserve">Carga del catálogo completo</t>
  </si>
  <si>
    <t xml:space="preserve">RNF-03</t>
  </si>
  <si>
    <t xml:space="preserve">≤</t>
  </si>
  <si>
    <t xml:space="preserve">Actualización de marcadores al filtrar el mapa</t>
  </si>
  <si>
    <t xml:space="preserve">RNF-04</t>
  </si>
  <si>
    <t xml:space="preserve">&lt;</t>
  </si>
  <si>
    <t xml:space="preserve">Creación de cuenta</t>
  </si>
  <si>
    <t xml:space="preserve">RF-01</t>
  </si>
  <si>
    <t xml:space="preserve">Inicio de sesión</t>
  </si>
  <si>
    <t xml:space="preserve">Registro de visita</t>
  </si>
  <si>
    <t xml:space="preserve">Fuente de los umbrales: ERS CultureGo v1.0, sección 3.2 (RNF) y fichas RF-01, RF-02 y RF-14.</t>
  </si>
  <si>
    <t xml:space="preserve">Mediciones de la ejecución 2 (E2E con Playwright, 12-10-2026). La creación de cuenta y el registro de visita se midieron una sola vez, por el límite de correos de Supabase y el período de enfriamiento de 6 h (celdas en gris).</t>
  </si>
  <si>
    <t xml:space="preserve">Registro de incidencias</t>
  </si>
  <si>
    <t xml:space="preserve">Cada caso en Fail genera una incidencia. Se cierra cuando una ejecución posterior lo da como Pass (Verificada → Cerrada).</t>
  </si>
  <si>
    <t xml:space="preserve">Fecha detección</t>
  </si>
  <si>
    <t xml:space="preserve">Detectada en</t>
  </si>
  <si>
    <t xml:space="preserve">Caso(s)</t>
  </si>
  <si>
    <t xml:space="preserve">Componente / archivo</t>
  </si>
  <si>
    <t xml:space="preserve">Descripción</t>
  </si>
  <si>
    <t xml:space="preserve">Resultado esperado</t>
  </si>
  <si>
    <t xml:space="preserve">Resultado obtenido</t>
  </si>
  <si>
    <t xml:space="preserve">Estado</t>
  </si>
  <si>
    <t xml:space="preserve">Fecha cierre</t>
  </si>
  <si>
    <t xml:space="preserve">Commit corrección</t>
  </si>
  <si>
    <t xml:space="preserve">Verificada en</t>
  </si>
  <si>
    <t xml:space="preserve">UT-SMK-17, UT-SMK-21, UT-CFG-01, UT-CFG-02</t>
  </si>
  <si>
    <t xml:space="preserve">Defecto de prueba</t>
  </si>
  <si>
    <t xml:space="preserve">lista-lugares y configuracion (.spec.ts)</t>
  </si>
  <si>
    <t xml:space="preserve">El TestBed no provee la navegación de Ionic (NavController) que los componentes usan desde que incorporaron ionViewWillEnter. Bloquea la verificación automática del cambio de contraseña y de nombre.</t>
  </si>
  <si>
    <t xml:space="preserve">Las pruebas se ejecutan y evalúan su lógica.</t>
  </si>
  <si>
    <t xml:space="preserve">Cannot read properties of undefined (reading 'subscribe')</t>
  </si>
  <si>
    <t xml:space="preserve">Abierta</t>
  </si>
  <si>
    <t xml:space="preserve">UT-SMK-18 (Medallas) quedó resuelto en la ejecución 1.</t>
  </si>
  <si>
    <t xml:space="preserve">UT-SMK-12, UT-SMK-13, UT-SMK-14, UT-REG-01</t>
  </si>
  <si>
    <t xml:space="preserve">login, recuperar-password y registro (.spec.ts)</t>
  </si>
  <si>
    <t xml:space="preserve">El TestBed no provee ActivatedRoute, que los componentes o sus RouterLink requieren. Bloquea la verificación automática de la aceptación de términos.</t>
  </si>
  <si>
    <t xml:space="preserve">NG0201: No provider found for ActivatedRoute</t>
  </si>
  <si>
    <t xml:space="preserve">El spec declara el componente standalone en declarations e importa IonicModule.forRoot(); debe importarse en imports.</t>
  </si>
  <si>
    <t xml:space="preserve">El componente se crea.</t>
  </si>
  <si>
    <t xml:space="preserve">TabsComponent is marked as standalone and can't be declared in any NgModule</t>
  </si>
  <si>
    <t xml:space="preserve">Defecto de la aplicación</t>
  </si>
  <si>
    <t xml:space="preserve">core/services/auth.ts — obtenerUsuarioActual()</t>
  </si>
  <si>
    <t xml:space="preserve">Guarda null en caché cuando falla la lectura del perfil (usuarioCache = error ? null : perfil). Un error transitorio hace que la app trate al usuario como sin sesión (guards redirigen al login, perfil vacío) hasta el siguiente evento de autenticación.</t>
  </si>
  <si>
    <t xml:space="preserve">El error no queda en caché y la siguiente llamada vuelve a consultar.</t>
  </si>
  <si>
    <t xml:space="preserve">La siguiente llamada devuelve null sin consultar.</t>
  </si>
  <si>
    <t xml:space="preserve">core/guards/auth-guard.ts</t>
  </si>
  <si>
    <t xml:space="preserve">authGuard no maneja el rechazo de obtenerUsuarioActual(): ante un error de red la navegación termina en excepción.</t>
  </si>
  <si>
    <t xml:space="preserve">El guard redirige a /auth/login con redirectTo.</t>
  </si>
  <si>
    <t xml:space="preserve">La promesa del guard se rechaza.</t>
  </si>
  <si>
    <t xml:space="preserve">core/utils/traducir-error-auth.ts</t>
  </si>
  <si>
    <t xml:space="preserve">Solo reconoce «Network request failed»; el error de red del navegador («Failed to fetch») muestra el mensaje genérico.</t>
  </si>
  <si>
    <t xml:space="preserve">Mensaje de falta de conexión.</t>
  </si>
  <si>
    <t xml:space="preserve">«Ocurrió un error. Intenta de nuevo.»</t>
  </si>
  <si>
    <t xml:space="preserve">Usa instanceof Error en lugar de duck typing, contra la convención del proyecto. Impacto acotado: los errores de Supabase Auth heredan de Error.</t>
  </si>
  <si>
    <t xml:space="preserve">Un objeto plano con message conocido se traduce igual que un Error.</t>
  </si>
  <si>
    <t xml:space="preserve">Mensaje genérico.</t>
  </si>
  <si>
    <t xml:space="preserve">UT-CMP-03b, QA-24</t>
  </si>
  <si>
    <t xml:space="preserve">features/admin/gestion-lugares</t>
  </si>
  <si>
    <t xml:space="preserve">No valida el rango de las coordenadas (latitud −90 a 90, longitud −180 a 180) antes de guardar: un lugar inválido se crea y su marcador no puede ubicarse en el mapa.</t>
  </si>
  <si>
    <t xml:space="preserve">No se invoca crearLugar y se indica el dato a corregir.</t>
  </si>
  <si>
    <t xml:space="preserve">crearLugar se invoca con latitud 999 y longitud −999.</t>
  </si>
  <si>
    <t xml:space="preserve">Confirmado en la ejecución 2 (E2E): QA-24 acepta una latitud de 95.</t>
  </si>
  <si>
    <t xml:space="preserve">features/gamificacion/medallas</t>
  </si>
  <si>
    <t xml:space="preserve">Con cantidad_requerida 0 el progreso de la medalla es NaN (división por cero en el orden y en el ancho de la barra).</t>
  </si>
  <si>
    <t xml:space="preserve">Progreso dentro de 0–100 %, sin NaN.</t>
  </si>
  <si>
    <t xml:space="preserve">NaN.</t>
  </si>
  <si>
    <t xml:space="preserve">core/services/lugares.ts — listar</t>
  </si>
  <si>
    <t xml:space="preserve">Aplica el filtro ilike cuando el texto de búsqueda contiene solo espacios (falta trim antes de la comprobación).</t>
  </si>
  <si>
    <t xml:space="preserve">No se aplica ilike.</t>
  </si>
  <si>
    <t xml:space="preserve">Se invoca ilike.</t>
  </si>
  <si>
    <t xml:space="preserve">features/auth/registro + configuración de Supabase Auth</t>
  </si>
  <si>
    <t xml:space="preserve">Registrarse con un correo ya existente muestra «Te enviamos un correo para confirmar tu cuenta». Con la confirmación de correo activa, Supabase responde como si el registro fuera exitoso (para no revelar qué correos existen) y la app no lo detecta (por ejemplo, revisando que user.identities venga vacío).</t>
  </si>
  <si>
    <t xml:space="preserve">Mensaje de correo ya registrado; no se crea otra cuenta.</t>
  </si>
  <si>
    <t xml:space="preserve">Mensaje de confirmación enviada.</t>
  </si>
  <si>
    <t xml:space="preserve">RF-01, RN-01.</t>
  </si>
  <si>
    <t xml:space="preserve">H-12</t>
  </si>
  <si>
    <t xml:space="preserve">features/catalogo/lista-lugares (tarjetas)</t>
  </si>
  <si>
    <t xml:space="preserve">Las tarjetas del catálogo no muestran el tipo del lugar, y los lugares pagados no indican su condición (solo los gratuitos llevan la etiqueta «Gratis»).</t>
  </si>
  <si>
    <t xml:space="preserve">Cada tarjeta muestra nombre, tipo, comuna y gratuidad.</t>
  </si>
  <si>
    <t xml:space="preserve">Nombre, comuna y la etiqueta «Gratis» solo en los gratuitos.</t>
  </si>
  <si>
    <t xml:space="preserve">RF-04.</t>
  </si>
  <si>
    <t xml:space="preserve">features/mapa/pagina-mapa</t>
  </si>
  <si>
    <t xml:space="preserve">No se muestra un mensaje que explique el uso de la ubicación antes de solicitar el permiso.</t>
  </si>
  <si>
    <t xml:space="preserve">Mensaje explicativo previo a la solicitud del permiso.</t>
  </si>
  <si>
    <t xml:space="preserve">La solicitud se hace sin mensaje previo.</t>
  </si>
  <si>
    <t xml:space="preserve">RNF-15 (prioridad alta en la ERS).</t>
  </si>
  <si>
    <t xml:space="preserve">H-14</t>
  </si>
  <si>
    <t xml:space="preserve">features/inicio/pagina-inicio (encabezado)</t>
  </si>
  <si>
    <t xml:space="preserve">El avatar guardado se ve en Perfil, pero el encabezado de Inicio sigue mostrando el logo.</t>
  </si>
  <si>
    <t xml:space="preserve">El avatar actualizado se ve en Perfil y en Inicio.</t>
  </si>
  <si>
    <t xml:space="preserve">Solo se ve en Perfil.</t>
  </si>
  <si>
    <t xml:space="preserve">RF-26.</t>
  </si>
  <si>
    <t xml:space="preserve">features/catalogo/detalle-lugar (registro de visita)</t>
  </si>
  <si>
    <t xml:space="preserve">La medalla se otorga en la base de datos, pero la app no notifica al usuario al obtenerla.</t>
  </si>
  <si>
    <t xml:space="preserve">Notificación de la medalla obtenida en ≤ 1 s.</t>
  </si>
  <si>
    <t xml:space="preserve">Sin notificación; la medalla solo aparece en Perfil e Historial.</t>
  </si>
  <si>
    <t xml:space="preserve">RF-15.</t>
  </si>
  <si>
    <t xml:space="preserve">Con una combinación de filtros sin coincidencias, el mapa queda sin marcadores y sin aviso.</t>
  </si>
  <si>
    <t xml:space="preserve">Aviso al usuario cuando ningún lugar cumple los filtros.</t>
  </si>
  <si>
    <t xml:space="preserve">Mapa vacío sin aviso.</t>
  </si>
  <si>
    <t xml:space="preserve">RF-09.</t>
  </si>
  <si>
    <t xml:space="preserve">H-17</t>
  </si>
  <si>
    <t xml:space="preserve">features/admin/gestion-lugares (formulario)</t>
  </si>
  <si>
    <t xml:space="preserve">Con datos obligatorios faltantes el botón «Crear lugar» se deshabilita, pero no se indica qué dato falta.</t>
  </si>
  <si>
    <t xml:space="preserve">Se indica qué dato corregir.</t>
  </si>
  <si>
    <t xml:space="preserve">Solo el botón deshabilitado.</t>
  </si>
  <si>
    <t xml:space="preserve">RF-11.</t>
  </si>
  <si>
    <t xml:space="preserve">QA-01, QA-08</t>
  </si>
  <si>
    <t xml:space="preserve">Registro y filtro por comuna del catálogo</t>
  </si>
  <si>
    <t xml:space="preserve">Dos tiempos sobre el umbral de la ERS: creación de cuenta en 2,4 s (≤ 2 s) y filtro del catálogo por comuna en 1,1 s (≤ 1 s). Es una sola medición en cada caso y la primera incluye el envío del correo de confirmación.</t>
  </si>
  <si>
    <t xml:space="preserve">Creación de cuenta ≤ 2 s; filtro ≤ 1 s.</t>
  </si>
  <si>
    <t xml:space="preserve">2,4 s y 1,1 s.</t>
  </si>
  <si>
    <t xml:space="preserve">Volver a medir antes de corregir; puede ser variación de red.</t>
  </si>
  <si>
    <t xml:space="preserve">e2e/auth.e2e.ts</t>
  </si>
  <si>
    <t xml:space="preserve">La prueba espera llegar a Inicio después de eliminar la cuenta, pero la app lleva al inicio de sesión (comportamiento razonable). La prueba se detiene ahí y no verifica el borrado en la base ni el rechazo del login.</t>
  </si>
  <si>
    <t xml:space="preserve">La prueba verifica el borrado y el rechazo del login.</t>
  </si>
  <si>
    <t xml:space="preserve">Prueba detenida antes de esas verificaciones.</t>
  </si>
  <si>
    <t xml:space="preserve">Ajustar la expectativa y volver a ejecutar.</t>
  </si>
  <si>
    <t xml:space="preserve">H-20</t>
  </si>
  <si>
    <t xml:space="preserve">H-21</t>
  </si>
  <si>
    <t xml:space="preserve">H-22</t>
  </si>
  <si>
    <t xml:space="preserve">H-23</t>
  </si>
  <si>
    <t xml:space="preserve">H-24</t>
  </si>
  <si>
    <t xml:space="preserve">H-25</t>
  </si>
  <si>
    <t xml:space="preserve">H-26</t>
  </si>
  <si>
    <t xml:space="preserve">H-27</t>
  </si>
  <si>
    <t xml:space="preserve">H-28</t>
  </si>
  <si>
    <t xml:space="preserve">H-29</t>
  </si>
  <si>
    <t xml:space="preserve">H-30</t>
  </si>
  <si>
    <t xml:space="preserve">H-31</t>
  </si>
  <si>
    <t xml:space="preserve">H-32</t>
  </si>
  <si>
    <t xml:space="preserve">H-33</t>
  </si>
  <si>
    <t xml:space="preserve">H-34</t>
  </si>
  <si>
    <t xml:space="preserve">Cobertura de código por carpeta</t>
  </si>
  <si>
    <t xml:space="preserve">Valores de coverage/app/index.html (Karma). Una fila por carpeta y ejecución; el reporte HTML no se versiona, por eso se transcribe aquí.</t>
  </si>
  <si>
    <t xml:space="preserve">Ejecución</t>
  </si>
  <si>
    <t xml:space="preserve">Carpeta</t>
  </si>
  <si>
    <t xml:space="preserve">Sent. cubiertas</t>
  </si>
  <si>
    <t xml:space="preserve">Sent. totales</t>
  </si>
  <si>
    <t xml:space="preserve">Ramas cubiertas</t>
  </si>
  <si>
    <t xml:space="preserve">Ramas totales</t>
  </si>
  <si>
    <t xml:space="preserve">Func. cubiertas</t>
  </si>
  <si>
    <t xml:space="preserve">Func. totales</t>
  </si>
  <si>
    <t xml:space="preserve">Líneas cubiertas</t>
  </si>
  <si>
    <t xml:space="preserve">Líneas totales</t>
  </si>
  <si>
    <t xml:space="preserve">% sentencias</t>
  </si>
  <si>
    <t xml:space="preserve">% ramas</t>
  </si>
  <si>
    <t xml:space="preserve">% funciones</t>
  </si>
  <si>
    <t xml:space="preserve">% líneas</t>
  </si>
  <si>
    <t xml:space="preserve">src</t>
  </si>
  <si>
    <t xml:space="preserve">src/app</t>
  </si>
  <si>
    <t xml:space="preserve">src/app/core/guards</t>
  </si>
  <si>
    <t xml:space="preserve">src/app/core/services</t>
  </si>
  <si>
    <t xml:space="preserve">src/app/core/utils</t>
  </si>
  <si>
    <t xml:space="preserve">src/app/features/admin/gestion-lugares</t>
  </si>
  <si>
    <t xml:space="preserve">src/app/features/auth/login</t>
  </si>
  <si>
    <t xml:space="preserve">src/app/features/auth/recuperar-password</t>
  </si>
  <si>
    <t xml:space="preserve">src/app/features/auth/registro</t>
  </si>
  <si>
    <t xml:space="preserve">src/app/features/auth/restablecer-password</t>
  </si>
  <si>
    <t xml:space="preserve">src/app/features/catalogo/detalle-lugar</t>
  </si>
  <si>
    <t xml:space="preserve">src/app/features/catalogo/lista-lugares</t>
  </si>
  <si>
    <t xml:space="preserve">src/app/features/gamificacion/medallas</t>
  </si>
  <si>
    <t xml:space="preserve">src/app/features/inicio/pagina-inicio</t>
  </si>
  <si>
    <t xml:space="preserve">src/app/features/mapa/pagina-mapa</t>
  </si>
  <si>
    <t xml:space="preserve">src/app/features/perfil/configuracion</t>
  </si>
  <si>
    <t xml:space="preserve">src/app/features/perfil/mis-tickets</t>
  </si>
  <si>
    <t xml:space="preserve">src/app/features/perfil/pagina-perfil</t>
  </si>
  <si>
    <t xml:space="preserve">src/app/shared/components/avatar-preview</t>
  </si>
  <si>
    <t xml:space="preserve">src/app/shared/components/reportar-problema</t>
  </si>
  <si>
    <t xml:space="preserve">src/app/shared/components/sugerir-lugar</t>
  </si>
  <si>
    <t xml:space="preserve">src/app/shared/components/tabs</t>
  </si>
  <si>
    <t xml:space="preserve">src/app/shared/components/terminos-condiciones</t>
  </si>
  <si>
    <t xml:space="preserve">src/environments</t>
  </si>
  <si>
    <t xml:space="preserve">Solo aparecen los archivos importados por algún .spec.ts; los componentes sin prueba no entran en el cálculo de Karma.</t>
  </si>
  <si>
    <t xml:space="preserve">Decisiones pendientes</t>
  </si>
  <si>
    <t xml:space="preserve">Diferencias entre el plan y el código que el equipo debe resolver. Al decidir, se ajusta el código (y se registra una incidencia) o el plan (y se sube su versión).</t>
  </si>
  <si>
    <t xml:space="preserve">Origen</t>
  </si>
  <si>
    <t xml:space="preserve">Tema</t>
  </si>
  <si>
    <t xml:space="preserve">Opciones</t>
  </si>
  <si>
    <t xml:space="preserve">Recomendación</t>
  </si>
  <si>
    <t xml:space="preserve">Decisión</t>
  </si>
  <si>
    <t xml:space="preserve">D-01</t>
  </si>
  <si>
    <t xml:space="preserve">Dos llamadas simultáneas a obtenerUsuarioActual() hacen dos consultas, porque la caché guarda el valor y no la promesa en curso.</t>
  </si>
  <si>
    <t xml:space="preserve">A) Guardar la promesa en curso (el caso pasa).
B) Aceptar el comportamiento y cambiar el caso para documentarlo.</t>
  </si>
  <si>
    <t xml:space="preserve">A, si se corrige H-04 al mismo tiempo: ambos cambios tocan el mismo método.</t>
  </si>
  <si>
    <t xml:space="preserve">D-02</t>
  </si>
  <si>
    <t xml:space="preserve">Dos medallas no obtenidas con igual porcentaje no se desempatan: quedan en el orden de llegada.</t>
  </si>
  <si>
    <t xml:space="preserve">A) Agregar desempate por cantidad requerida ascendente (el caso pasa).
B) Aceptar el orden actual y cambiar el caso.</t>
  </si>
  <si>
    <t xml:space="preserve">A: es una línea en el sort y hace el orden determinista.</t>
  </si>
  <si>
    <t xml:space="preserve">D-03</t>
  </si>
  <si>
    <t xml:space="preserve">ERS v1.0, 1.2</t>
  </si>
  <si>
    <t xml:space="preserve">La ERS declara las reseñas fuera de alcance, pero están implementadas y el plan las prueba (QA-17 y QA-18).</t>
  </si>
  <si>
    <t xml:space="preserve">A) Agregar un RF de reseñas a la ERS.
B) Retirar las reseñas del producto y del plan.</t>
  </si>
  <si>
    <t xml:space="preserve">A, si las reseñas se mantienen en el producto.</t>
  </si>
  <si>
    <t xml:space="preserve">D-04</t>
  </si>
  <si>
    <t xml:space="preserve">El spec de Supabase crea el cliente real con la URL del proyecto (genera la advertencia «Multiple GoTrueClient instances»). El plan pide datos ficticios.</t>
  </si>
  <si>
    <t xml:space="preserve">A) Usar un environment de prueba con URL y clave ficticias.
B) Mantenerlo y documentar la excepción.</t>
  </si>
  <si>
    <t xml:space="preserve">A.</t>
  </si>
  <si>
    <t xml:space="preserve">QA-29, RF-25</t>
  </si>
  <si>
    <t xml:space="preserve">El panel no tiene gestión de usuarios y roles (RF-25, prioridad baja). La protección del rol en la API sí funciona.</t>
  </si>
  <si>
    <t xml:space="preserve">A) Implementar una pantalla mínima de usuarios y roles.
B) Ajustar la ERS: el rol se asigna desde Supabase y RF-25 queda fuera del alcance de esta versión.</t>
  </si>
  <si>
    <t xml:space="preserve">B, dada la prioridad baja, salvo que el docente lo exija.</t>
  </si>
  <si>
    <t xml:space="preserve">QA-21, RF-27</t>
  </si>
  <si>
    <t xml:space="preserve">No existen ítems de avatar asociados a medallas: RF-27 no está implementado, aunque la pantalla ya muestra un aviso de recompensas.</t>
  </si>
  <si>
    <t xml:space="preserve">A) Implementar el desbloqueo con al menos un ítem por medalla.
B) Ajustar la ERS y dejar RF-27 para una versión futura.</t>
  </si>
  <si>
    <t xml:space="preserve">A, si el tiempo alcanza: la interfaz ya lo anticipa.</t>
  </si>
  <si>
    <t xml:space="preserve">D-07</t>
  </si>
  <si>
    <t xml:space="preserve">QA-19, RF-26</t>
  </si>
  <si>
    <t xml:space="preserve">El avatar tiene Cabeza, Ojos, Boca y Cuerpo, sin accesorio ni color; la ERS y el plan describen boca, ojos, accesorio y ropa o cuerpo, y el plan agrega color.</t>
  </si>
  <si>
    <t xml:space="preserve">A) Ajustar la ERS y el plan a los componentes reales.
B) Agregar accesorio y color a la app.</t>
  </si>
  <si>
    <t xml:space="preserve">QA-23, RF-10</t>
  </si>
  <si>
    <t xml:space="preserve">adminGuard redirige a /admin/login-admin, ruta que no existe; no hay un acceso de administración separado y ADM entra con el login normal.</t>
  </si>
  <si>
    <t xml:space="preserve">A) Redirigir a /auth/login con redirectTo o a Inicio, y ajustar UT-GRD-06/07.
B) Crear la pantalla de acceso de administración.</t>
  </si>
  <si>
    <t xml:space="preserve">La app permite publicar una reseña sin comentario y lo señala como «(opcional)»; el plan esperaba que fuera obligatorio.</t>
  </si>
  <si>
    <t xml:space="preserve">A) Aceptar el comentario como opcional y ajustar QA-17.
B) Hacerlo obligatorio en la app.</t>
  </si>
  <si>
    <t xml:space="preserve">A: la interfaz lo declara opcional.</t>
  </si>
  <si>
    <t xml:space="preserve">QA-28, RN-12</t>
  </si>
  <si>
    <t xml:space="preserve">Aprobar una sugerencia abre «Revisar y publicar», donde ADM completa y publica el lugar. Es coherente con RN-12 (la publicación la hace el administrador), pero QA-28 esperaba que la aprobación no creara un lugar.</t>
  </si>
  <si>
    <t xml:space="preserve">A) Ajustar QA-28: la aprobación publica mediante el formulario del CRUD.
B) Separar «aprobar» de «publicar» en la app.</t>
  </si>
  <si>
    <t xml:space="preserve">QA-08, QA-22</t>
  </si>
  <si>
    <t xml:space="preserve">Diferencias de redacción entre el plan y la app: el mensaje sin coincidencias del catálogo dice «No encontramos lugares con estos filtros.» y el interruptor de modo oscuro está en Perfil, no en Configuración.</t>
  </si>
  <si>
    <t xml:space="preserve">A) Ajustar el plan y las pruebas a la app.</t>
  </si>
  <si>
    <t xml:space="preserve">Estado de los criterios de salida</t>
  </si>
  <si>
    <t xml:space="preserve">Plan de Pruebas v2.0, sección 5.3. Los valores calculados toman la ejecución unitaria indicada en «Resumen».</t>
  </si>
  <si>
    <t xml:space="preserve">Criterio</t>
  </si>
  <si>
    <t xml:space="preserve">Meta</t>
  </si>
  <si>
    <t xml:space="preserve">Mínimo aceptable</t>
  </si>
  <si>
    <t xml:space="preserve">Valor actual</t>
  </si>
  <si>
    <t xml:space="preserve">¿Cumple el mínimo?</t>
  </si>
  <si>
    <t xml:space="preserve">Cómo se obtiene</t>
  </si>
  <si>
    <t xml:space="preserve">CS-01</t>
  </si>
  <si>
    <t xml:space="preserve">Obligatorio</t>
  </si>
  <si>
    <t xml:space="preserve">Suite unitaria completa ejecutada</t>
  </si>
  <si>
    <t xml:space="preserve">100 %</t>
  </si>
  <si>
    <t xml:space="preserve">Parcial</t>
  </si>
  <si>
    <t xml:space="preserve">Pendiente</t>
  </si>
  <si>
    <t xml:space="preserve">Manual: Sí cuando la ejecución de referencia incluye todos los casos UT del plan y H-01 a H-03 están cerradas.</t>
  </si>
  <si>
    <t xml:space="preserve">CS-02</t>
  </si>
  <si>
    <t xml:space="preserve">Suite unitaria sin fallas no justificadas</t>
  </si>
  <si>
    <t xml:space="preserve">0</t>
  </si>
  <si>
    <t xml:space="preserve">Fail de la ejecución de referencia (hoja Ejecuciones).</t>
  </si>
  <si>
    <t xml:space="preserve">CS-03</t>
  </si>
  <si>
    <t xml:space="preserve">Casos manuales críticos aprobados</t>
  </si>
  <si>
    <t xml:space="preserve">Críticos en Pass / 13 (hoja Resultados QA, resultado vigente).</t>
  </si>
  <si>
    <t xml:space="preserve">CS-04</t>
  </si>
  <si>
    <t xml:space="preserve">Control de acceso verificado</t>
  </si>
  <si>
    <t xml:space="preserve">QA-23 y QA-29 en Pass.</t>
  </si>
  <si>
    <t xml:space="preserve">CS-05</t>
  </si>
  <si>
    <t xml:space="preserve">Sin incidencias críticas ni altas abiertas</t>
  </si>
  <si>
    <t xml:space="preserve">Incidencias Crítica o Alta en estado distinto de Cerrada o Aceptada.</t>
  </si>
  <si>
    <t xml:space="preserve">CS-06</t>
  </si>
  <si>
    <t xml:space="preserve">Requisitos de prioridad alta validados</t>
  </si>
  <si>
    <t xml:space="preserve">Manual: revisar la matriz de cobertura del plan (sección 4.9) contra los resultados.</t>
  </si>
  <si>
    <t xml:space="preserve">CS-07</t>
  </si>
  <si>
    <t xml:space="preserve">Deseable</t>
  </si>
  <si>
    <t xml:space="preserve">Aprobación global de casos manuales</t>
  </si>
  <si>
    <t xml:space="preserve">≥ 95 %</t>
  </si>
  <si>
    <t xml:space="preserve">≥ 90 %</t>
  </si>
  <si>
    <t xml:space="preserve">Pass / (Pass + Fail) en el resultado vigente.</t>
  </si>
  <si>
    <t xml:space="preserve">CS-08</t>
  </si>
  <si>
    <t xml:space="preserve">Casos manuales ejecutados</t>
  </si>
  <si>
    <t xml:space="preserve">Casos con resultado distinto de No ejecutado / 29.</t>
  </si>
  <si>
    <t xml:space="preserve">CS-09</t>
  </si>
  <si>
    <t xml:space="preserve">Incidencias medias resueltas</t>
  </si>
  <si>
    <t xml:space="preserve">Todas cerradas</t>
  </si>
  <si>
    <t xml:space="preserve">Todas cerradas o aceptadas; máximo 3 aceptadas</t>
  </si>
  <si>
    <t xml:space="preserve">Medias no cerradas ni aceptadas (valor actual) y máximo 3 aceptadas.</t>
  </si>
  <si>
    <t xml:space="preserve">CS-10</t>
  </si>
  <si>
    <t xml:space="preserve">Incidencias bajas gestionadas</t>
  </si>
  <si>
    <t xml:space="preserve">Todas documentadas</t>
  </si>
  <si>
    <t xml:space="preserve">Manual: Sí si las bajas abiertas están descritas como riesgo residual en el informe.</t>
  </si>
  <si>
    <t xml:space="preserve">CS-11</t>
  </si>
  <si>
    <t xml:space="preserve">Cobertura de líneas en core/</t>
  </si>
  <si>
    <t xml:space="preserve">≥ 75 %</t>
  </si>
  <si>
    <t xml:space="preserve">≥ 60 %</t>
  </si>
  <si>
    <t xml:space="preserve">Cob. líneas core/ de la ejecución de referencia.</t>
  </si>
  <si>
    <t xml:space="preserve">CS-12</t>
  </si>
  <si>
    <t xml:space="preserve">≥ 55 %</t>
  </si>
  <si>
    <t xml:space="preserve">≥ 50 %</t>
  </si>
  <si>
    <t xml:space="preserve">Cob. líneas global de la ejecución de referencia.</t>
  </si>
  <si>
    <t xml:space="preserve">CS-13</t>
  </si>
  <si>
    <t xml:space="preserve">Cobertura de ramas global</t>
  </si>
  <si>
    <t xml:space="preserve">≥ 35 %</t>
  </si>
  <si>
    <t xml:space="preserve">≥ 30 %</t>
  </si>
  <si>
    <t xml:space="preserve">Cob. ramas global de la ejecución de referencia.</t>
  </si>
  <si>
    <t xml:space="preserve">CS-14</t>
  </si>
  <si>
    <t xml:space="preserve">Requisitos de prioridad media y baja validados</t>
  </si>
  <si>
    <t xml:space="preserve">≥ 85 %</t>
  </si>
  <si>
    <t xml:space="preserve">Manual: revisar la matriz de cobertura del plan (sección 4.9).</t>
  </si>
  <si>
    <t xml:space="preserve">CS-15</t>
  </si>
  <si>
    <t xml:space="preserve">Tiempos de respuesta</t>
  </si>
  <si>
    <t xml:space="preserve">Todos los promedios dentro del umbral</t>
  </si>
  <si>
    <t xml:space="preserve">Todos los promedios dentro del umbral; se admiten mediciones individuales sobre el umbral</t>
  </si>
  <si>
    <t xml:space="preserve">Hoja Tiempos.</t>
  </si>
  <si>
    <t xml:space="preserve">CS-16</t>
  </si>
  <si>
    <t xml:space="preserve">Compatibilidad</t>
  </si>
  <si>
    <t xml:space="preserve">2 versiones recientes de Android e iOS</t>
  </si>
  <si>
    <t xml:space="preserve">1 versión reciente de Android y navegador de escritorio; iOS declarado como limitación si no hay dispositivo</t>
  </si>
  <si>
    <t xml:space="preserve">Manual: dispositivos registrados en C1 Dispositivo / SO.</t>
  </si>
</sst>
</file>

<file path=xl/styles.xml><?xml version="1.0" encoding="utf-8"?>
<styleSheet xmlns="http://schemas.openxmlformats.org/spreadsheetml/2006/main">
  <numFmts count="5">
    <numFmt numFmtId="164" formatCode="General"/>
    <numFmt numFmtId="165" formatCode="0.0%"/>
    <numFmt numFmtId="166" formatCode="General"/>
    <numFmt numFmtId="167" formatCode="dd\-mm\-yyyy"/>
    <numFmt numFmtId="168" formatCode="0.00"/>
  </numFmts>
  <fonts count="11">
    <font>
      <sz val="11"/>
      <color theme="1"/>
      <name val="Calibri"/>
      <family val="2"/>
      <charset val="1"/>
    </font>
    <font>
      <sz val="10"/>
      <name val="Arial"/>
      <family val="0"/>
    </font>
    <font>
      <sz val="10"/>
      <name val="Arial"/>
      <family val="0"/>
    </font>
    <font>
      <sz val="10"/>
      <name val="Arial"/>
      <family val="0"/>
    </font>
    <font>
      <b val="true"/>
      <sz val="14"/>
      <color rgb="FF6B4FA0"/>
      <name val="Arial"/>
      <family val="0"/>
      <charset val="1"/>
    </font>
    <font>
      <b val="true"/>
      <sz val="10"/>
      <name val="Arial"/>
      <family val="0"/>
      <charset val="1"/>
    </font>
    <font>
      <i val="true"/>
      <sz val="9"/>
      <name val="Arial"/>
      <family val="0"/>
      <charset val="1"/>
    </font>
    <font>
      <b val="true"/>
      <sz val="11"/>
      <color rgb="FF6B4FA0"/>
      <name val="Arial"/>
      <family val="0"/>
      <charset val="1"/>
    </font>
    <font>
      <sz val="10"/>
      <name val="Arial"/>
      <family val="0"/>
      <charset val="1"/>
    </font>
    <font>
      <b val="true"/>
      <sz val="10"/>
      <color rgb="FFFFFFFF"/>
      <name val="Arial"/>
      <family val="0"/>
      <charset val="1"/>
    </font>
    <font>
      <i val="true"/>
      <sz val="9"/>
      <color rgb="FF666666"/>
      <name val="Arial"/>
      <family val="0"/>
      <charset val="1"/>
    </font>
  </fonts>
  <fills count="5">
    <fill>
      <patternFill patternType="none"/>
    </fill>
    <fill>
      <patternFill patternType="gray125"/>
    </fill>
    <fill>
      <patternFill patternType="solid">
        <fgColor rgb="FFFFF2CC"/>
        <bgColor rgb="FFFCE5CD"/>
      </patternFill>
    </fill>
    <fill>
      <patternFill patternType="solid">
        <fgColor rgb="FF6B4FA0"/>
        <bgColor rgb="FF666666"/>
      </patternFill>
    </fill>
    <fill>
      <patternFill patternType="solid">
        <fgColor rgb="FFEFEFEF"/>
        <bgColor rgb="FFFFF2CC"/>
      </patternFill>
    </fill>
  </fills>
  <borders count="2">
    <border diagonalUp="false" diagonalDown="false">
      <left/>
      <right/>
      <top/>
      <bottom/>
      <diagonal/>
    </border>
    <border diagonalUp="false" diagonalDown="false">
      <left style="thin">
        <color rgb="FFBFB6CF"/>
      </left>
      <right style="thin">
        <color rgb="FFBFB6CF"/>
      </right>
      <top style="thin">
        <color rgb="FFBFB6CF"/>
      </top>
      <bottom style="thin">
        <color rgb="FFBFB6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5" fontId="8" fillId="2"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7" fontId="8" fillId="2" borderId="1" xfId="0" applyFont="true" applyBorder="true" applyAlignment="true" applyProtection="false">
      <alignment horizontal="center" vertical="top" textRotation="0" wrapText="true" indent="0" shrinkToFit="false"/>
      <protection locked="true" hidden="false"/>
    </xf>
    <xf numFmtId="168" fontId="8" fillId="2" borderId="1" xfId="0" applyFont="true" applyBorder="true" applyAlignment="true" applyProtection="false">
      <alignment horizontal="center" vertical="top" textRotation="0" wrapText="true" indent="0" shrinkToFit="false"/>
      <protection locked="true" hidden="false"/>
    </xf>
    <xf numFmtId="168" fontId="8" fillId="0" borderId="1" xfId="0" applyFont="true" applyBorder="true" applyAlignment="true" applyProtection="false">
      <alignment horizontal="center" vertical="top" textRotation="0" wrapText="true" indent="0" shrinkToFit="false"/>
      <protection locked="true" hidden="false"/>
    </xf>
    <xf numFmtId="168" fontId="8" fillId="4"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D9EAD3"/>
        </patternFill>
      </fill>
    </dxf>
    <dxf>
      <fill>
        <patternFill>
          <bgColor rgb="FFF4CCCC"/>
        </patternFill>
      </fill>
    </dxf>
    <dxf>
      <fill>
        <patternFill>
          <bgColor rgb="FFFCE5CD"/>
        </patternFill>
      </fill>
    </dxf>
    <dxf>
      <fill>
        <patternFill patternType="solid">
          <fgColor rgb="FF6B4FA0"/>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EFEFEF"/>
          <bgColor rgb="FF000000"/>
        </patternFill>
      </fill>
    </dxf>
    <dxf>
      <fill>
        <patternFill patternType="solid">
          <fgColor rgb="FFF4CCCC"/>
          <bgColor rgb="FF000000"/>
        </patternFill>
      </fill>
    </dxf>
    <dxf>
      <fill>
        <patternFill patternType="solid">
          <fgColor rgb="FFFFF2CC"/>
          <bgColor rgb="FF000000"/>
        </patternFill>
      </fill>
    </dxf>
    <dxf>
      <fill>
        <patternFill>
          <bgColor rgb="FFEFEFE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6CF"/>
      <rgbColor rgb="FF808080"/>
      <rgbColor rgb="FF9999FF"/>
      <rgbColor rgb="FF993366"/>
      <rgbColor rgb="FFFFF2CC"/>
      <rgbColor rgb="FFEFEF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6B4FA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22"/>
    <col collapsed="false" customWidth="true" hidden="false" outlineLevel="0" max="4" min="4" style="0" width="12"/>
    <col collapsed="false" customWidth="true" hidden="false" outlineLevel="0" max="5" min="5" style="0" width="10"/>
  </cols>
  <sheetData>
    <row r="1" customFormat="false" ht="17.35" hidden="false" customHeight="false" outlineLevel="0" collapsed="false">
      <c r="A1" s="1" t="s">
        <v>0</v>
      </c>
    </row>
    <row r="4" customFormat="false" ht="15" hidden="false" customHeight="false" outlineLevel="0" collapsed="false">
      <c r="A4" s="2" t="s">
        <v>1</v>
      </c>
      <c r="C4" s="3" t="n">
        <v>1</v>
      </c>
      <c r="D4" s="4" t="s">
        <v>2</v>
      </c>
    </row>
    <row r="6" customFormat="false" ht="15" hidden="false" customHeight="false" outlineLevel="0" collapsed="false">
      <c r="A6" s="5" t="s">
        <v>3</v>
      </c>
    </row>
    <row r="7" customFormat="false" ht="15" hidden="false" customHeight="false" outlineLevel="0" collapsed="false">
      <c r="A7" s="6" t="s">
        <v>4</v>
      </c>
      <c r="B7" s="6"/>
      <c r="C7" s="7" t="str">
        <f aca="false">INDEX(Ejecuciones!$B$5:$B$200,MATCH(Resumen!$C$4,Ejecuciones!$A$5:$A$200,0))</f>
        <v>11-10-2026</v>
      </c>
    </row>
    <row r="8" customFormat="false" ht="15" hidden="false" customHeight="false" outlineLevel="0" collapsed="false">
      <c r="A8" s="6" t="s">
        <v>5</v>
      </c>
      <c r="B8" s="6"/>
      <c r="C8" s="7" t="n">
        <f aca="false">INDEX(Ejecuciones!$L$5:$L$200,MATCH(Resumen!$C$4,Ejecuciones!$A$5:$A$200,0))</f>
        <v>110</v>
      </c>
    </row>
    <row r="9" customFormat="false" ht="15" hidden="false" customHeight="false" outlineLevel="0" collapsed="false">
      <c r="A9" s="6" t="s">
        <v>6</v>
      </c>
      <c r="B9" s="6"/>
      <c r="C9" s="7" t="n">
        <f aca="false">INDEX(Ejecuciones!$I$5:$I$200,MATCH(Resumen!$C$4,Ejecuciones!$A$5:$A$200,0))</f>
        <v>91</v>
      </c>
    </row>
    <row r="10" customFormat="false" ht="15" hidden="false" customHeight="false" outlineLevel="0" collapsed="false">
      <c r="A10" s="6" t="s">
        <v>7</v>
      </c>
      <c r="B10" s="6"/>
      <c r="C10" s="7" t="n">
        <f aca="false">INDEX(Ejecuciones!$J$5:$J$200,MATCH(Resumen!$C$4,Ejecuciones!$A$5:$A$200,0))</f>
        <v>19</v>
      </c>
    </row>
    <row r="11" customFormat="false" ht="15" hidden="false" customHeight="false" outlineLevel="0" collapsed="false">
      <c r="A11" s="6" t="s">
        <v>8</v>
      </c>
      <c r="B11" s="6"/>
      <c r="C11" s="8" t="n">
        <f aca="false">INDEX(Ejecuciones!$M$5:$M$200,MATCH(Resumen!$C$4,Ejecuciones!$A$5:$A$200,0))</f>
        <v>0.827272727272727</v>
      </c>
    </row>
    <row r="12" customFormat="false" ht="15" hidden="false" customHeight="false" outlineLevel="0" collapsed="false">
      <c r="A12" s="6" t="s">
        <v>9</v>
      </c>
      <c r="B12" s="6"/>
      <c r="C12" s="8" t="n">
        <f aca="false">INDEX(Ejecuciones!$N$5:$N$200,MATCH(Resumen!$C$4,Ejecuciones!$A$5:$A$200,0))</f>
        <v>0.485436893203884</v>
      </c>
    </row>
    <row r="14" customFormat="false" ht="15" hidden="false" customHeight="false" outlineLevel="0" collapsed="false">
      <c r="A14" s="5" t="s">
        <v>10</v>
      </c>
    </row>
    <row r="15" customFormat="false" ht="15" hidden="false" customHeight="false" outlineLevel="0" collapsed="false">
      <c r="A15" s="6" t="s">
        <v>11</v>
      </c>
      <c r="B15" s="6"/>
      <c r="C15" s="7" t="n">
        <f aca="false">COUNTA('Resultados QA'!$Q$5:$Q$33)</f>
        <v>29</v>
      </c>
    </row>
    <row r="16" customFormat="false" ht="15" hidden="false" customHeight="false" outlineLevel="0" collapsed="false">
      <c r="A16" s="6" t="s">
        <v>12</v>
      </c>
      <c r="B16" s="6"/>
      <c r="C16" s="7" t="n">
        <f aca="false">C15-COUNTIF('Resultados QA'!$Q$5:$Q$33,"No ejecutado")</f>
        <v>28</v>
      </c>
    </row>
    <row r="17" customFormat="false" ht="15" hidden="false" customHeight="false" outlineLevel="0" collapsed="false">
      <c r="A17" s="6" t="s">
        <v>6</v>
      </c>
      <c r="B17" s="6"/>
      <c r="C17" s="7" t="n">
        <f aca="false">COUNTIF('Resultados QA'!$Q$5:$Q$33,"Pass")</f>
        <v>15</v>
      </c>
    </row>
    <row r="18" customFormat="false" ht="15" hidden="false" customHeight="false" outlineLevel="0" collapsed="false">
      <c r="A18" s="6" t="s">
        <v>7</v>
      </c>
      <c r="B18" s="6"/>
      <c r="C18" s="7" t="n">
        <f aca="false">COUNTIF('Resultados QA'!$Q$5:$Q$33,"Fail")</f>
        <v>13</v>
      </c>
    </row>
    <row r="19" customFormat="false" ht="15" hidden="false" customHeight="false" outlineLevel="0" collapsed="false">
      <c r="A19" s="6" t="s">
        <v>13</v>
      </c>
      <c r="B19" s="6"/>
      <c r="C19" s="7" t="n">
        <f aca="false">COUNTIF('Resultados QA'!$Q$5:$Q$33,"Bloqueado")</f>
        <v>0</v>
      </c>
    </row>
    <row r="20" customFormat="false" ht="15" hidden="false" customHeight="false" outlineLevel="0" collapsed="false">
      <c r="A20" s="6" t="s">
        <v>14</v>
      </c>
      <c r="B20" s="6"/>
      <c r="C20" s="7" t="n">
        <f aca="false">COUNTIFS('Resultados QA'!$D$5:$D$33,"Crítico",'Resultados QA'!$Q$5:$Q$33,"Pass")</f>
        <v>6</v>
      </c>
    </row>
    <row r="22" customFormat="false" ht="15" hidden="false" customHeight="false" outlineLevel="0" collapsed="false">
      <c r="A22" s="5" t="s">
        <v>15</v>
      </c>
    </row>
    <row r="23" customFormat="false" ht="15" hidden="false" customHeight="false" outlineLevel="0" collapsed="false">
      <c r="A23" s="9" t="s">
        <v>16</v>
      </c>
      <c r="B23" s="9" t="s">
        <v>17</v>
      </c>
      <c r="C23" s="9" t="s">
        <v>18</v>
      </c>
      <c r="D23" s="9" t="s">
        <v>19</v>
      </c>
      <c r="E23" s="9" t="s">
        <v>20</v>
      </c>
    </row>
    <row r="24" customFormat="false" ht="15" hidden="false" customHeight="false" outlineLevel="0" collapsed="false">
      <c r="A24" s="10" t="s">
        <v>21</v>
      </c>
      <c r="B24" s="11" t="n">
        <f aca="false">COUNTIFS(Incidencias!$J$5:$J$200,"Crítica",Incidencias!$A$5:$A$200,"&lt;&gt;",Incidencias!$K$5:$K$200,"&lt;&gt;Cerrada",Incidencias!$K$5:$K$200,"&lt;&gt;Aceptada")</f>
        <v>0</v>
      </c>
      <c r="C24" s="11" t="n">
        <f aca="false">COUNTIFS(Incidencias!$J$5:$J$200,"Crítica",Incidencias!$K$5:$K$200,"Cerrada")</f>
        <v>0</v>
      </c>
      <c r="D24" s="11" t="n">
        <f aca="false">COUNTIFS(Incidencias!$J$5:$J$200,"Crítica",Incidencias!$K$5:$K$200,"Aceptada")</f>
        <v>0</v>
      </c>
      <c r="E24" s="11" t="n">
        <f aca="false">SUM(B24:D24)</f>
        <v>0</v>
      </c>
    </row>
    <row r="25" customFormat="false" ht="15" hidden="false" customHeight="false" outlineLevel="0" collapsed="false">
      <c r="A25" s="10" t="s">
        <v>22</v>
      </c>
      <c r="B25" s="11" t="n">
        <f aca="false">COUNTIFS(Incidencias!$J$5:$J$200,"Alta",Incidencias!$A$5:$A$200,"&lt;&gt;",Incidencias!$K$5:$K$200,"&lt;&gt;Cerrada",Incidencias!$K$5:$K$200,"&lt;&gt;Aceptada")</f>
        <v>1</v>
      </c>
      <c r="C25" s="11" t="n">
        <f aca="false">COUNTIFS(Incidencias!$J$5:$J$200,"Alta",Incidencias!$K$5:$K$200,"Cerrada")</f>
        <v>0</v>
      </c>
      <c r="D25" s="11" t="n">
        <f aca="false">COUNTIFS(Incidencias!$J$5:$J$200,"Alta",Incidencias!$K$5:$K$200,"Aceptada")</f>
        <v>0</v>
      </c>
      <c r="E25" s="11" t="n">
        <f aca="false">SUM(B25:D25)</f>
        <v>1</v>
      </c>
    </row>
    <row r="26" customFormat="false" ht="15" hidden="false" customHeight="false" outlineLevel="0" collapsed="false">
      <c r="A26" s="10" t="s">
        <v>23</v>
      </c>
      <c r="B26" s="11" t="n">
        <f aca="false">COUNTIFS(Incidencias!$J$5:$J$200,"Media",Incidencias!$A$5:$A$200,"&lt;&gt;",Incidencias!$K$5:$K$200,"&lt;&gt;Cerrada",Incidencias!$K$5:$K$200,"&lt;&gt;Aceptada")</f>
        <v>8</v>
      </c>
      <c r="C26" s="11" t="n">
        <f aca="false">COUNTIFS(Incidencias!$J$5:$J$200,"Media",Incidencias!$K$5:$K$200,"Cerrada")</f>
        <v>0</v>
      </c>
      <c r="D26" s="11" t="n">
        <f aca="false">COUNTIFS(Incidencias!$J$5:$J$200,"Media",Incidencias!$K$5:$K$200,"Aceptada")</f>
        <v>0</v>
      </c>
      <c r="E26" s="11" t="n">
        <f aca="false">SUM(B26:D26)</f>
        <v>8</v>
      </c>
    </row>
    <row r="27" customFormat="false" ht="15" hidden="false" customHeight="false" outlineLevel="0" collapsed="false">
      <c r="A27" s="10" t="s">
        <v>24</v>
      </c>
      <c r="B27" s="11" t="n">
        <f aca="false">COUNTIFS(Incidencias!$J$5:$J$200,"Baja",Incidencias!$A$5:$A$200,"&lt;&gt;",Incidencias!$K$5:$K$200,"&lt;&gt;Cerrada",Incidencias!$K$5:$K$200,"&lt;&gt;Aceptada")</f>
        <v>10</v>
      </c>
      <c r="C27" s="11" t="n">
        <f aca="false">COUNTIFS(Incidencias!$J$5:$J$200,"Baja",Incidencias!$K$5:$K$200,"Cerrada")</f>
        <v>0</v>
      </c>
      <c r="D27" s="11" t="n">
        <f aca="false">COUNTIFS(Incidencias!$J$5:$J$200,"Baja",Incidencias!$K$5:$K$200,"Aceptada")</f>
        <v>0</v>
      </c>
      <c r="E27" s="11" t="n">
        <f aca="false">SUM(B27:D27)</f>
        <v>10</v>
      </c>
    </row>
    <row r="28" customFormat="false" ht="15" hidden="false" customHeight="false" outlineLevel="0" collapsed="false">
      <c r="A28" s="10" t="s">
        <v>20</v>
      </c>
      <c r="B28" s="7" t="n">
        <f aca="false">SUM(B24:B27)</f>
        <v>19</v>
      </c>
      <c r="C28" s="7" t="n">
        <f aca="false">SUM(C24:C27)</f>
        <v>0</v>
      </c>
      <c r="D28" s="7" t="n">
        <f aca="false">SUM(D24:D27)</f>
        <v>0</v>
      </c>
      <c r="E28" s="7" t="n">
        <f aca="false">SUM(E24:E27)</f>
        <v>19</v>
      </c>
    </row>
    <row r="30" customFormat="false" ht="15" hidden="false" customHeight="false" outlineLevel="0" collapsed="false">
      <c r="A30" s="5" t="s">
        <v>25</v>
      </c>
    </row>
    <row r="31" customFormat="false" ht="15" hidden="false" customHeight="false" outlineLevel="0" collapsed="false">
      <c r="A31" s="6" t="s">
        <v>26</v>
      </c>
      <c r="B31" s="6"/>
      <c r="C31" s="7" t="n">
        <f aca="false">COUNTIFS(Criterios!$B$5:$B$20,"Obligatorio",Criterios!$G$5:$G$20,"Sí")</f>
        <v>0</v>
      </c>
    </row>
    <row r="32" customFormat="false" ht="15" hidden="false" customHeight="false" outlineLevel="0" collapsed="false">
      <c r="A32" s="6" t="s">
        <v>27</v>
      </c>
      <c r="B32" s="6"/>
      <c r="C32" s="7" t="n">
        <f aca="false">6-C31</f>
        <v>6</v>
      </c>
    </row>
    <row r="33" customFormat="false" ht="15" hidden="false" customHeight="false" outlineLevel="0" collapsed="false">
      <c r="A33" s="6" t="s">
        <v>28</v>
      </c>
      <c r="B33" s="6"/>
      <c r="C33" s="7" t="n">
        <f aca="false">COUNTIFS(Criterios!$B$5:$B$20,"Deseable",Criterios!$G$5:$G$20,"No")</f>
        <v>5</v>
      </c>
    </row>
    <row r="34" customFormat="false" ht="15" hidden="false" customHeight="false" outlineLevel="0" collapsed="false">
      <c r="A34" s="6" t="s">
        <v>29</v>
      </c>
      <c r="B34" s="6"/>
      <c r="C34" s="7" t="n">
        <f aca="false">COUNTIFS(Criterios!$B$5:$B$20,"Deseable",Criterios!$G$5:$G$20,"Pendiente")</f>
        <v>3</v>
      </c>
    </row>
    <row r="35" customFormat="false" ht="15" hidden="false" customHeight="false" outlineLevel="0" collapsed="false">
      <c r="A35" s="6" t="s">
        <v>30</v>
      </c>
      <c r="B35" s="6"/>
      <c r="C35" s="7" t="str">
        <f aca="false">IF(C32&gt;0,"No validado",IF(C34&gt;0,"En curso",IF(C33=0,"Validado",IF(C33&lt;=2,"Validado con observaciones","No validado"))))</f>
        <v>No validado</v>
      </c>
    </row>
    <row r="36" customFormat="false" ht="15" hidden="false" customHeight="false" outlineLevel="0" collapsed="false">
      <c r="A36" s="4" t="s">
        <v>31</v>
      </c>
    </row>
  </sheetData>
  <mergeCells count="17">
    <mergeCell ref="A7:B7"/>
    <mergeCell ref="A8:B8"/>
    <mergeCell ref="A9:B9"/>
    <mergeCell ref="A10:B10"/>
    <mergeCell ref="A11:B11"/>
    <mergeCell ref="A12:B12"/>
    <mergeCell ref="A15:B15"/>
    <mergeCell ref="A16:B16"/>
    <mergeCell ref="A17:B17"/>
    <mergeCell ref="A18:B18"/>
    <mergeCell ref="A19:B19"/>
    <mergeCell ref="A20:B20"/>
    <mergeCell ref="A31:B31"/>
    <mergeCell ref="A32:B32"/>
    <mergeCell ref="A33:B33"/>
    <mergeCell ref="A34:B34"/>
    <mergeCell ref="A35:B35"/>
  </mergeCells>
  <conditionalFormatting sqref="C35">
    <cfRule type="cellIs" priority="2" operator="equal" aboveAverage="0" equalAverage="0" bottom="0" percent="0" rank="0" text="" dxfId="0">
      <formula>"Validado"</formula>
    </cfRule>
    <cfRule type="cellIs" priority="3" operator="equal" aboveAverage="0" equalAverage="0" bottom="0" percent="0" rank="0" text="" dxfId="1">
      <formula>"No validado"</formula>
    </cfRule>
    <cfRule type="cellIs" priority="4" operator="equal" aboveAverage="0" equalAverage="0" bottom="0" percent="0" rank="0" text="" dxfId="2">
      <formula>"Validado con observaciones"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70"/>
  </cols>
  <sheetData>
    <row r="1" customFormat="false" ht="17.35" hidden="false" customHeight="false" outlineLevel="0" collapsed="false">
      <c r="A1" s="1" t="s">
        <v>32</v>
      </c>
    </row>
    <row r="2" customFormat="false" ht="15" hidden="false" customHeight="false" outlineLevel="0" collapsed="false">
      <c r="A2" s="12" t="s">
        <v>33</v>
      </c>
    </row>
    <row r="4" customFormat="false" ht="15" hidden="false" customHeight="false" outlineLevel="0" collapsed="false">
      <c r="A4" s="13" t="s">
        <v>34</v>
      </c>
      <c r="B4" s="13" t="s">
        <v>35</v>
      </c>
      <c r="C4" s="13" t="s">
        <v>36</v>
      </c>
    </row>
    <row r="5" customFormat="false" ht="23.85" hidden="false" customHeight="false" outlineLevel="0" collapsed="false">
      <c r="A5" s="10" t="s">
        <v>37</v>
      </c>
      <c r="B5" s="14" t="s">
        <v>38</v>
      </c>
      <c r="C5" s="14" t="s">
        <v>39</v>
      </c>
    </row>
    <row r="6" customFormat="false" ht="23.85" hidden="false" customHeight="false" outlineLevel="0" collapsed="false">
      <c r="A6" s="10" t="s">
        <v>40</v>
      </c>
      <c r="B6" s="14" t="s">
        <v>41</v>
      </c>
      <c r="C6" s="14" t="s">
        <v>42</v>
      </c>
    </row>
    <row r="7" customFormat="false" ht="23.85" hidden="false" customHeight="false" outlineLevel="0" collapsed="false">
      <c r="A7" s="10" t="s">
        <v>43</v>
      </c>
      <c r="B7" s="14" t="s">
        <v>44</v>
      </c>
      <c r="C7" s="14" t="s">
        <v>45</v>
      </c>
    </row>
    <row r="8" customFormat="false" ht="15" hidden="false" customHeight="false" outlineLevel="0" collapsed="false">
      <c r="A8" s="10" t="s">
        <v>46</v>
      </c>
      <c r="B8" s="14" t="s">
        <v>47</v>
      </c>
      <c r="C8" s="14" t="s">
        <v>48</v>
      </c>
    </row>
    <row r="9" customFormat="false" ht="15" hidden="false" customHeight="false" outlineLevel="0" collapsed="false">
      <c r="A9" s="10" t="s">
        <v>49</v>
      </c>
      <c r="B9" s="14" t="s">
        <v>50</v>
      </c>
      <c r="C9" s="14" t="s">
        <v>51</v>
      </c>
    </row>
    <row r="10" customFormat="false" ht="23.85" hidden="false" customHeight="false" outlineLevel="0" collapsed="false">
      <c r="A10" s="10" t="s">
        <v>15</v>
      </c>
      <c r="B10" s="14" t="s">
        <v>52</v>
      </c>
      <c r="C10" s="14" t="s">
        <v>53</v>
      </c>
    </row>
    <row r="11" customFormat="false" ht="15" hidden="false" customHeight="false" outlineLevel="0" collapsed="false">
      <c r="A11" s="10" t="s">
        <v>54</v>
      </c>
      <c r="B11" s="14" t="s">
        <v>55</v>
      </c>
      <c r="C11" s="14" t="s">
        <v>56</v>
      </c>
    </row>
    <row r="12" customFormat="false" ht="23.85" hidden="false" customHeight="false" outlineLevel="0" collapsed="false">
      <c r="A12" s="10" t="s">
        <v>57</v>
      </c>
      <c r="B12" s="14" t="s">
        <v>58</v>
      </c>
      <c r="C12" s="14" t="s">
        <v>59</v>
      </c>
    </row>
    <row r="13" customFormat="false" ht="15" hidden="false" customHeight="false" outlineLevel="0" collapsed="false">
      <c r="A13" s="10" t="s">
        <v>60</v>
      </c>
      <c r="B13" s="14" t="s">
        <v>61</v>
      </c>
      <c r="C13" s="14" t="s">
        <v>62</v>
      </c>
    </row>
    <row r="15" customFormat="false" ht="15" hidden="false" customHeight="false" outlineLevel="0" collapsed="false">
      <c r="A15" s="2" t="s">
        <v>63</v>
      </c>
    </row>
    <row r="16" customFormat="false" ht="23.85" hidden="false" customHeight="false" outlineLevel="0" collapsed="false">
      <c r="A16" s="15" t="s">
        <v>64</v>
      </c>
      <c r="B16" s="16" t="s">
        <v>65</v>
      </c>
    </row>
    <row r="17" customFormat="false" ht="23.85" hidden="false" customHeight="false" outlineLevel="0" collapsed="false">
      <c r="A17" s="2" t="s">
        <v>66</v>
      </c>
      <c r="B17" s="16" t="s">
        <v>67</v>
      </c>
    </row>
    <row r="18" customFormat="false" ht="35.05" hidden="false" customHeight="false" outlineLevel="0" collapsed="false">
      <c r="A18" s="2" t="s">
        <v>68</v>
      </c>
      <c r="B18" s="16"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0"/>
    <col collapsed="false" customWidth="true" hidden="false" outlineLevel="0" max="4" min="4" style="0" width="34"/>
    <col collapsed="false" customWidth="true" hidden="false" outlineLevel="0" max="6" min="5" style="0" width="11"/>
    <col collapsed="false" customWidth="true" hidden="false" outlineLevel="0" max="7" min="7" style="0" width="13"/>
    <col collapsed="false" customWidth="true" hidden="false" outlineLevel="0" max="8" min="8" style="0" width="26"/>
    <col collapsed="false" customWidth="true" hidden="false" outlineLevel="0" max="10" min="9" style="0" width="7"/>
    <col collapsed="false" customWidth="true" hidden="false" outlineLevel="0" max="11" min="11" style="0" width="10"/>
    <col collapsed="false" customWidth="true" hidden="false" outlineLevel="0" max="12" min="12" style="0" width="7"/>
    <col collapsed="false" customWidth="true" hidden="false" outlineLevel="0" max="16" min="13" style="0" width="11"/>
    <col collapsed="false" customWidth="true" hidden="false" outlineLevel="0" max="17" min="17" style="0" width="34"/>
    <col collapsed="false" customWidth="true" hidden="false" outlineLevel="0" max="18" min="18" style="0" width="40"/>
  </cols>
  <sheetData>
    <row r="1" customFormat="false" ht="17.35" hidden="false" customHeight="false" outlineLevel="0" collapsed="false">
      <c r="A1" s="1" t="s">
        <v>40</v>
      </c>
    </row>
    <row r="2" customFormat="false" ht="15" hidden="false" customHeight="false" outlineLevel="0" collapsed="false">
      <c r="A2" s="12" t="s">
        <v>70</v>
      </c>
    </row>
    <row r="4" customFormat="false" ht="23.85" hidden="false" customHeight="false" outlineLevel="0" collapsed="false">
      <c r="A4" s="13" t="s">
        <v>71</v>
      </c>
      <c r="B4" s="13" t="s">
        <v>4</v>
      </c>
      <c r="C4" s="13" t="s">
        <v>72</v>
      </c>
      <c r="D4" s="13" t="s">
        <v>73</v>
      </c>
      <c r="E4" s="13" t="s">
        <v>74</v>
      </c>
      <c r="F4" s="13" t="s">
        <v>75</v>
      </c>
      <c r="G4" s="13" t="s">
        <v>76</v>
      </c>
      <c r="H4" s="13" t="s">
        <v>77</v>
      </c>
      <c r="I4" s="13" t="s">
        <v>6</v>
      </c>
      <c r="J4" s="13" t="s">
        <v>7</v>
      </c>
      <c r="K4" s="13" t="s">
        <v>78</v>
      </c>
      <c r="L4" s="13" t="s">
        <v>20</v>
      </c>
      <c r="M4" s="13" t="s">
        <v>8</v>
      </c>
      <c r="N4" s="13" t="s">
        <v>79</v>
      </c>
      <c r="O4" s="13" t="s">
        <v>80</v>
      </c>
      <c r="P4" s="13" t="s">
        <v>81</v>
      </c>
      <c r="Q4" s="13" t="s">
        <v>82</v>
      </c>
      <c r="R4" s="13" t="s">
        <v>83</v>
      </c>
    </row>
    <row r="5" customFormat="false" ht="23.85" hidden="false" customHeight="false" outlineLevel="0" collapsed="false">
      <c r="A5" s="7" t="n">
        <v>0</v>
      </c>
      <c r="B5" s="11" t="s">
        <v>84</v>
      </c>
      <c r="C5" s="17" t="s">
        <v>85</v>
      </c>
      <c r="D5" s="14" t="s">
        <v>86</v>
      </c>
      <c r="E5" s="14" t="s">
        <v>87</v>
      </c>
      <c r="F5" s="14" t="s">
        <v>88</v>
      </c>
      <c r="G5" s="18"/>
      <c r="H5" s="14" t="s">
        <v>89</v>
      </c>
      <c r="I5" s="11" t="n">
        <f aca="false">COUNTIF('Resultados UT'!F$5:F$114,"Pass")</f>
        <v>24</v>
      </c>
      <c r="J5" s="11" t="n">
        <f aca="false">COUNTIF('Resultados UT'!F$5:F$114,"Fail")</f>
        <v>10</v>
      </c>
      <c r="K5" s="11" t="n">
        <f aca="false">COUNTIF('Resultados UT'!F$5:F$114,"Bloqueado")</f>
        <v>0</v>
      </c>
      <c r="L5" s="11" t="n">
        <f aca="false">SUM(I5:K5)</f>
        <v>34</v>
      </c>
      <c r="M5" s="19" t="n">
        <f aca="false">IF(L5=0,"",I5/L5)</f>
        <v>0.705882352941177</v>
      </c>
      <c r="N5" s="19"/>
      <c r="O5" s="19"/>
      <c r="P5" s="19"/>
      <c r="Q5" s="14" t="s">
        <v>90</v>
      </c>
      <c r="R5" s="14" t="s">
        <v>91</v>
      </c>
    </row>
    <row r="6" customFormat="false" ht="46.25" hidden="false" customHeight="false" outlineLevel="0" collapsed="false">
      <c r="A6" s="7" t="n">
        <v>1</v>
      </c>
      <c r="B6" s="11" t="s">
        <v>84</v>
      </c>
      <c r="C6" s="17" t="s">
        <v>85</v>
      </c>
      <c r="D6" s="14" t="s">
        <v>92</v>
      </c>
      <c r="E6" s="14" t="s">
        <v>87</v>
      </c>
      <c r="F6" s="14" t="s">
        <v>93</v>
      </c>
      <c r="G6" s="18"/>
      <c r="H6" s="14" t="s">
        <v>94</v>
      </c>
      <c r="I6" s="11" t="n">
        <f aca="false">COUNTIF('Resultados UT'!G$5:G$114,"Pass")</f>
        <v>91</v>
      </c>
      <c r="J6" s="11" t="n">
        <f aca="false">COUNTIF('Resultados UT'!G$5:G$114,"Fail")</f>
        <v>19</v>
      </c>
      <c r="K6" s="11" t="n">
        <f aca="false">COUNTIF('Resultados UT'!G$5:G$114,"Bloqueado")</f>
        <v>0</v>
      </c>
      <c r="L6" s="11" t="n">
        <f aca="false">SUM(I6:K6)</f>
        <v>110</v>
      </c>
      <c r="M6" s="19" t="n">
        <f aca="false">IF(L6=0,"",I6/L6)</f>
        <v>0.827272727272727</v>
      </c>
      <c r="N6" s="19" t="n">
        <f aca="false">SUMIFS(Cobertura!$I$5:$I$68,Cobertura!$A$5:$A$68,A6)/SUMIFS(Cobertura!$J$5:$J$68,Cobertura!$A$5:$A$68,A6)</f>
        <v>0.485436893203884</v>
      </c>
      <c r="O6" s="19" t="n">
        <f aca="false">SUMIFS(Cobertura!$E$5:$E$68,Cobertura!$A$5:$A$68,A6)/SUMIFS(Cobertura!$F$5:$F$68,Cobertura!$A$5:$A$68,A6)</f>
        <v>0.285714285714286</v>
      </c>
      <c r="P6" s="19" t="n">
        <f aca="false">SUMIFS(Cobertura!$I$5:$I$68,Cobertura!$A$5:$A$68,A6,Cobertura!$B$5:$B$68,"src/app/core/*")/SUMIFS(Cobertura!$J$5:$J$68,Cobertura!$A$5:$A$68,A6,Cobertura!$B$5:$B$68,"src/app/core/*")</f>
        <v>0.615079365079365</v>
      </c>
      <c r="Q6" s="14" t="s">
        <v>95</v>
      </c>
      <c r="R6" s="14" t="s">
        <v>96</v>
      </c>
    </row>
    <row r="7" customFormat="false" ht="57.45" hidden="false" customHeight="false" outlineLevel="0" collapsed="false">
      <c r="A7" s="7" t="n">
        <v>2</v>
      </c>
      <c r="B7" s="11" t="s">
        <v>97</v>
      </c>
      <c r="C7" s="17" t="s">
        <v>98</v>
      </c>
      <c r="D7" s="14" t="s">
        <v>99</v>
      </c>
      <c r="E7" s="14" t="s">
        <v>100</v>
      </c>
      <c r="F7" s="14" t="s">
        <v>101</v>
      </c>
      <c r="G7" s="18"/>
      <c r="H7" s="14" t="s">
        <v>102</v>
      </c>
      <c r="I7" s="11" t="n">
        <f aca="false">COUNTIF('Resultados QA'!$F$5:$F$33,"Pass")</f>
        <v>15</v>
      </c>
      <c r="J7" s="11" t="n">
        <f aca="false">COUNTIF('Resultados QA'!$F$5:$F$33,"Fail")</f>
        <v>13</v>
      </c>
      <c r="K7" s="11" t="n">
        <f aca="false">COUNTIF('Resultados QA'!$F$5:$F$33,"Bloqueado")</f>
        <v>0</v>
      </c>
      <c r="L7" s="11" t="n">
        <f aca="false">SUM(I7:K7)</f>
        <v>28</v>
      </c>
      <c r="M7" s="19" t="n">
        <f aca="false">IF(L7=0,"",I7/L7)</f>
        <v>0.535714285714286</v>
      </c>
      <c r="N7" s="19"/>
      <c r="O7" s="19"/>
      <c r="P7" s="19"/>
      <c r="Q7" s="14" t="s">
        <v>103</v>
      </c>
      <c r="R7" s="14" t="s">
        <v>104</v>
      </c>
    </row>
    <row r="8" customFormat="false" ht="15" hidden="false" customHeight="false" outlineLevel="0" collapsed="false">
      <c r="A8" s="3"/>
      <c r="B8" s="20"/>
      <c r="C8" s="20"/>
      <c r="D8" s="18"/>
      <c r="E8" s="18"/>
      <c r="F8" s="18"/>
      <c r="G8" s="18"/>
      <c r="H8" s="18"/>
      <c r="I8" s="20"/>
      <c r="J8" s="20"/>
      <c r="K8" s="20"/>
      <c r="L8" s="20"/>
      <c r="M8" s="21"/>
      <c r="N8" s="21"/>
      <c r="O8" s="21"/>
      <c r="P8" s="21"/>
      <c r="Q8" s="18"/>
      <c r="R8" s="18"/>
    </row>
    <row r="9" customFormat="false" ht="15" hidden="false" customHeight="false" outlineLevel="0" collapsed="false">
      <c r="A9" s="3"/>
      <c r="B9" s="20"/>
      <c r="C9" s="20"/>
      <c r="D9" s="18"/>
      <c r="E9" s="18"/>
      <c r="F9" s="18"/>
      <c r="G9" s="18"/>
      <c r="H9" s="18"/>
      <c r="I9" s="20"/>
      <c r="J9" s="20"/>
      <c r="K9" s="20"/>
      <c r="L9" s="20"/>
      <c r="M9" s="21"/>
      <c r="N9" s="21"/>
      <c r="O9" s="21"/>
      <c r="P9" s="21"/>
      <c r="Q9" s="18"/>
      <c r="R9" s="18"/>
    </row>
    <row r="10" customFormat="false" ht="15" hidden="false" customHeight="false" outlineLevel="0" collapsed="false">
      <c r="A10" s="3"/>
      <c r="B10" s="20"/>
      <c r="C10" s="20"/>
      <c r="D10" s="18"/>
      <c r="E10" s="18"/>
      <c r="F10" s="18"/>
      <c r="G10" s="18"/>
      <c r="H10" s="18"/>
      <c r="I10" s="20"/>
      <c r="J10" s="20"/>
      <c r="K10" s="20"/>
      <c r="L10" s="20"/>
      <c r="M10" s="21"/>
      <c r="N10" s="21"/>
      <c r="O10" s="21"/>
      <c r="P10" s="21"/>
      <c r="Q10" s="18"/>
      <c r="R10" s="18"/>
    </row>
    <row r="11" customFormat="false" ht="15" hidden="false" customHeight="false" outlineLevel="0" collapsed="false">
      <c r="A11" s="3"/>
      <c r="B11" s="20"/>
      <c r="C11" s="20"/>
      <c r="D11" s="18"/>
      <c r="E11" s="18"/>
      <c r="F11" s="18"/>
      <c r="G11" s="18"/>
      <c r="H11" s="18"/>
      <c r="I11" s="20"/>
      <c r="J11" s="20"/>
      <c r="K11" s="20"/>
      <c r="L11" s="20"/>
      <c r="M11" s="21"/>
      <c r="N11" s="21"/>
      <c r="O11" s="21"/>
      <c r="P11" s="21"/>
      <c r="Q11" s="18"/>
      <c r="R11" s="18"/>
    </row>
    <row r="12" customFormat="false" ht="15" hidden="false" customHeight="false" outlineLevel="0" collapsed="false">
      <c r="A12" s="3"/>
      <c r="B12" s="20"/>
      <c r="C12" s="20"/>
      <c r="D12" s="18"/>
      <c r="E12" s="18"/>
      <c r="F12" s="18"/>
      <c r="G12" s="18"/>
      <c r="H12" s="18"/>
      <c r="I12" s="20"/>
      <c r="J12" s="20"/>
      <c r="K12" s="20"/>
      <c r="L12" s="20"/>
      <c r="M12" s="21"/>
      <c r="N12" s="21"/>
      <c r="O12" s="21"/>
      <c r="P12" s="21"/>
      <c r="Q12" s="18"/>
      <c r="R12" s="18"/>
    </row>
    <row r="13" customFormat="false" ht="15" hidden="false" customHeight="false" outlineLevel="0" collapsed="false">
      <c r="A13" s="3"/>
      <c r="B13" s="20"/>
      <c r="C13" s="20"/>
      <c r="D13" s="18"/>
      <c r="E13" s="18"/>
      <c r="F13" s="18"/>
      <c r="G13" s="18"/>
      <c r="H13" s="18"/>
      <c r="I13" s="20"/>
      <c r="J13" s="20"/>
      <c r="K13" s="20"/>
      <c r="L13" s="20"/>
      <c r="M13" s="21"/>
      <c r="N13" s="21"/>
      <c r="O13" s="21"/>
      <c r="P13" s="21"/>
      <c r="Q13" s="18"/>
      <c r="R13" s="18"/>
    </row>
    <row r="14" customFormat="false" ht="15" hidden="false" customHeight="false" outlineLevel="0" collapsed="false">
      <c r="A14" s="3"/>
      <c r="B14" s="20"/>
      <c r="C14" s="20"/>
      <c r="D14" s="18"/>
      <c r="E14" s="18"/>
      <c r="F14" s="18"/>
      <c r="G14" s="18"/>
      <c r="H14" s="18"/>
      <c r="I14" s="20"/>
      <c r="J14" s="20"/>
      <c r="K14" s="20"/>
      <c r="L14" s="20"/>
      <c r="M14" s="21"/>
      <c r="N14" s="21"/>
      <c r="O14" s="21"/>
      <c r="P14" s="21"/>
      <c r="Q14" s="18"/>
      <c r="R14" s="18"/>
    </row>
    <row r="15" customFormat="false" ht="15" hidden="false" customHeight="false" outlineLevel="0" collapsed="false">
      <c r="A15" s="3"/>
      <c r="B15" s="20"/>
      <c r="C15" s="20"/>
      <c r="D15" s="18"/>
      <c r="E15" s="18"/>
      <c r="F15" s="18"/>
      <c r="G15" s="18"/>
      <c r="H15" s="18"/>
      <c r="I15" s="20"/>
      <c r="J15" s="20"/>
      <c r="K15" s="20"/>
      <c r="L15" s="20"/>
      <c r="M15" s="21"/>
      <c r="N15" s="21"/>
      <c r="O15" s="21"/>
      <c r="P15" s="21"/>
      <c r="Q15" s="18"/>
      <c r="R15" s="18"/>
    </row>
    <row r="16" customFormat="false" ht="15" hidden="false" customHeight="false" outlineLevel="0" collapsed="false">
      <c r="A16" s="3"/>
      <c r="B16" s="20"/>
      <c r="C16" s="20"/>
      <c r="D16" s="18"/>
      <c r="E16" s="18"/>
      <c r="F16" s="18"/>
      <c r="G16" s="18"/>
      <c r="H16" s="18"/>
      <c r="I16" s="20"/>
      <c r="J16" s="20"/>
      <c r="K16" s="20"/>
      <c r="L16" s="20"/>
      <c r="M16" s="21"/>
      <c r="N16" s="21"/>
      <c r="O16" s="21"/>
      <c r="P16" s="21"/>
      <c r="Q16" s="18"/>
      <c r="R16" s="18"/>
    </row>
    <row r="17" customFormat="false" ht="15" hidden="false" customHeight="false" outlineLevel="0" collapsed="false">
      <c r="A17" s="3"/>
      <c r="B17" s="20"/>
      <c r="C17" s="20"/>
      <c r="D17" s="18"/>
      <c r="E17" s="18"/>
      <c r="F17" s="18"/>
      <c r="G17" s="18"/>
      <c r="H17" s="18"/>
      <c r="I17" s="20"/>
      <c r="J17" s="20"/>
      <c r="K17" s="20"/>
      <c r="L17" s="20"/>
      <c r="M17" s="21"/>
      <c r="N17" s="21"/>
      <c r="O17" s="21"/>
      <c r="P17" s="21"/>
      <c r="Q17" s="18"/>
      <c r="R17" s="18"/>
    </row>
    <row r="19" customFormat="false" ht="15" hidden="false" customHeight="false" outlineLevel="0" collapsed="false">
      <c r="A19" s="4" t="s">
        <v>105</v>
      </c>
    </row>
    <row r="20" customFormat="false" ht="15" hidden="false" customHeight="false" outlineLevel="0" collapsed="false">
      <c r="A20" s="4" t="s">
        <v>106</v>
      </c>
    </row>
  </sheetData>
  <dataValidations count="1">
    <dataValidation allowBlank="true" errorStyle="stop" operator="between" showDropDown="false" showErrorMessage="false" showInputMessage="false" sqref="C5:C17" type="list">
      <formula1>"Unitaria,E2E,Manual"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20"/>
    <col collapsed="false" customWidth="true" hidden="false" outlineLevel="0" max="4" min="4" style="0" width="10"/>
    <col collapsed="false" customWidth="true" hidden="false" outlineLevel="0" max="5" min="5" style="0" width="36"/>
    <col collapsed="false" customWidth="true" hidden="false" outlineLevel="0" max="10" min="6" style="0" width="9"/>
    <col collapsed="false" customWidth="true" hidden="false" outlineLevel="0" max="11" min="11" style="0" width="11"/>
    <col collapsed="false" customWidth="true" hidden="false" outlineLevel="0" max="12" min="12" style="0" width="46"/>
  </cols>
  <sheetData>
    <row r="1" customFormat="false" ht="17.35" hidden="false" customHeight="false" outlineLevel="0" collapsed="false">
      <c r="A1" s="1" t="s">
        <v>107</v>
      </c>
    </row>
    <row r="2" customFormat="false" ht="15" hidden="false" customHeight="false" outlineLevel="0" collapsed="false">
      <c r="A2" s="12" t="s">
        <v>108</v>
      </c>
    </row>
    <row r="4" customFormat="false" ht="35.05" hidden="false" customHeight="false" outlineLevel="0" collapsed="false">
      <c r="A4" s="13" t="s">
        <v>109</v>
      </c>
      <c r="B4" s="13" t="s">
        <v>110</v>
      </c>
      <c r="C4" s="13" t="s">
        <v>111</v>
      </c>
      <c r="D4" s="13" t="s">
        <v>72</v>
      </c>
      <c r="E4" s="13" t="s">
        <v>112</v>
      </c>
      <c r="F4" s="13" t="s">
        <v>113</v>
      </c>
      <c r="G4" s="13" t="s">
        <v>114</v>
      </c>
      <c r="H4" s="13" t="s">
        <v>115</v>
      </c>
      <c r="I4" s="13" t="s">
        <v>116</v>
      </c>
      <c r="J4" s="13" t="s">
        <v>117</v>
      </c>
      <c r="K4" s="13" t="s">
        <v>118</v>
      </c>
      <c r="L4" s="13" t="s">
        <v>119</v>
      </c>
    </row>
    <row r="5" customFormat="false" ht="15" hidden="false" customHeight="false" outlineLevel="0" collapsed="false">
      <c r="A5" s="7" t="s">
        <v>120</v>
      </c>
      <c r="B5" s="11" t="s">
        <v>121</v>
      </c>
      <c r="C5" s="14" t="s">
        <v>122</v>
      </c>
      <c r="D5" s="11" t="s">
        <v>123</v>
      </c>
      <c r="E5" s="14" t="s">
        <v>124</v>
      </c>
      <c r="F5" s="17" t="s">
        <v>125</v>
      </c>
      <c r="G5" s="17" t="s">
        <v>6</v>
      </c>
      <c r="H5" s="20"/>
      <c r="I5" s="20"/>
      <c r="J5" s="20"/>
      <c r="K5" s="11"/>
      <c r="L5" s="14"/>
    </row>
    <row r="6" customFormat="false" ht="15" hidden="false" customHeight="false" outlineLevel="0" collapsed="false">
      <c r="A6" s="7" t="s">
        <v>126</v>
      </c>
      <c r="B6" s="11" t="s">
        <v>121</v>
      </c>
      <c r="C6" s="14" t="s">
        <v>122</v>
      </c>
      <c r="D6" s="11" t="s">
        <v>127</v>
      </c>
      <c r="E6" s="14" t="s">
        <v>124</v>
      </c>
      <c r="F6" s="17" t="s">
        <v>125</v>
      </c>
      <c r="G6" s="17" t="s">
        <v>6</v>
      </c>
      <c r="H6" s="20"/>
      <c r="I6" s="20"/>
      <c r="J6" s="20"/>
      <c r="K6" s="11"/>
      <c r="L6" s="14"/>
    </row>
    <row r="7" customFormat="false" ht="15" hidden="false" customHeight="false" outlineLevel="0" collapsed="false">
      <c r="A7" s="7" t="s">
        <v>128</v>
      </c>
      <c r="B7" s="11" t="s">
        <v>121</v>
      </c>
      <c r="C7" s="14" t="s">
        <v>122</v>
      </c>
      <c r="D7" s="11" t="s">
        <v>129</v>
      </c>
      <c r="E7" s="14" t="s">
        <v>124</v>
      </c>
      <c r="F7" s="17" t="s">
        <v>125</v>
      </c>
      <c r="G7" s="17" t="s">
        <v>6</v>
      </c>
      <c r="H7" s="20"/>
      <c r="I7" s="20"/>
      <c r="J7" s="20"/>
      <c r="K7" s="11"/>
      <c r="L7" s="14"/>
    </row>
    <row r="8" customFormat="false" ht="15" hidden="false" customHeight="false" outlineLevel="0" collapsed="false">
      <c r="A8" s="7" t="s">
        <v>130</v>
      </c>
      <c r="B8" s="11" t="s">
        <v>121</v>
      </c>
      <c r="C8" s="14" t="s">
        <v>122</v>
      </c>
      <c r="D8" s="11" t="s">
        <v>127</v>
      </c>
      <c r="E8" s="14" t="s">
        <v>124</v>
      </c>
      <c r="F8" s="17" t="s">
        <v>125</v>
      </c>
      <c r="G8" s="17" t="s">
        <v>7</v>
      </c>
      <c r="H8" s="20"/>
      <c r="I8" s="20"/>
      <c r="J8" s="20"/>
      <c r="K8" s="11" t="s">
        <v>131</v>
      </c>
      <c r="L8" s="14"/>
    </row>
    <row r="9" customFormat="false" ht="15" hidden="false" customHeight="false" outlineLevel="0" collapsed="false">
      <c r="A9" s="7" t="s">
        <v>132</v>
      </c>
      <c r="B9" s="11" t="s">
        <v>121</v>
      </c>
      <c r="C9" s="14" t="s">
        <v>122</v>
      </c>
      <c r="D9" s="11" t="s">
        <v>123</v>
      </c>
      <c r="E9" s="14" t="s">
        <v>133</v>
      </c>
      <c r="F9" s="17" t="s">
        <v>125</v>
      </c>
      <c r="G9" s="17" t="s">
        <v>6</v>
      </c>
      <c r="H9" s="20"/>
      <c r="I9" s="20"/>
      <c r="J9" s="20"/>
      <c r="K9" s="11"/>
      <c r="L9" s="14"/>
    </row>
    <row r="10" customFormat="false" ht="15" hidden="false" customHeight="false" outlineLevel="0" collapsed="false">
      <c r="A10" s="7" t="s">
        <v>134</v>
      </c>
      <c r="B10" s="11" t="s">
        <v>121</v>
      </c>
      <c r="C10" s="14" t="s">
        <v>122</v>
      </c>
      <c r="D10" s="11" t="s">
        <v>127</v>
      </c>
      <c r="E10" s="14" t="s">
        <v>133</v>
      </c>
      <c r="F10" s="17" t="s">
        <v>125</v>
      </c>
      <c r="G10" s="17" t="s">
        <v>6</v>
      </c>
      <c r="H10" s="20"/>
      <c r="I10" s="20"/>
      <c r="J10" s="20"/>
      <c r="K10" s="11"/>
      <c r="L10" s="14"/>
    </row>
    <row r="11" customFormat="false" ht="15" hidden="false" customHeight="false" outlineLevel="0" collapsed="false">
      <c r="A11" s="7" t="s">
        <v>135</v>
      </c>
      <c r="B11" s="11" t="s">
        <v>121</v>
      </c>
      <c r="C11" s="14" t="s">
        <v>122</v>
      </c>
      <c r="D11" s="11" t="s">
        <v>127</v>
      </c>
      <c r="E11" s="14" t="s">
        <v>133</v>
      </c>
      <c r="F11" s="17" t="s">
        <v>125</v>
      </c>
      <c r="G11" s="17" t="s">
        <v>6</v>
      </c>
      <c r="H11" s="20"/>
      <c r="I11" s="20"/>
      <c r="J11" s="20"/>
      <c r="K11" s="11"/>
      <c r="L11" s="14"/>
    </row>
    <row r="12" customFormat="false" ht="15" hidden="false" customHeight="false" outlineLevel="0" collapsed="false">
      <c r="A12" s="7" t="s">
        <v>136</v>
      </c>
      <c r="B12" s="11" t="s">
        <v>121</v>
      </c>
      <c r="C12" s="14" t="s">
        <v>122</v>
      </c>
      <c r="D12" s="11" t="s">
        <v>129</v>
      </c>
      <c r="E12" s="14" t="s">
        <v>133</v>
      </c>
      <c r="F12" s="17" t="s">
        <v>125</v>
      </c>
      <c r="G12" s="17" t="s">
        <v>6</v>
      </c>
      <c r="H12" s="20"/>
      <c r="I12" s="20"/>
      <c r="J12" s="20"/>
      <c r="K12" s="11"/>
      <c r="L12" s="14"/>
    </row>
    <row r="13" customFormat="false" ht="15" hidden="false" customHeight="false" outlineLevel="0" collapsed="false">
      <c r="A13" s="7" t="s">
        <v>137</v>
      </c>
      <c r="B13" s="11" t="s">
        <v>138</v>
      </c>
      <c r="C13" s="14" t="s">
        <v>139</v>
      </c>
      <c r="D13" s="11" t="s">
        <v>123</v>
      </c>
      <c r="E13" s="14" t="s">
        <v>140</v>
      </c>
      <c r="F13" s="17" t="s">
        <v>125</v>
      </c>
      <c r="G13" s="17" t="s">
        <v>6</v>
      </c>
      <c r="H13" s="20"/>
      <c r="I13" s="20"/>
      <c r="J13" s="20"/>
      <c r="K13" s="11"/>
      <c r="L13" s="14"/>
    </row>
    <row r="14" customFormat="false" ht="15" hidden="false" customHeight="false" outlineLevel="0" collapsed="false">
      <c r="A14" s="7" t="s">
        <v>141</v>
      </c>
      <c r="B14" s="11" t="s">
        <v>138</v>
      </c>
      <c r="C14" s="14" t="s">
        <v>139</v>
      </c>
      <c r="D14" s="11" t="s">
        <v>123</v>
      </c>
      <c r="E14" s="14" t="s">
        <v>140</v>
      </c>
      <c r="F14" s="17" t="s">
        <v>125</v>
      </c>
      <c r="G14" s="17" t="s">
        <v>6</v>
      </c>
      <c r="H14" s="20"/>
      <c r="I14" s="20"/>
      <c r="J14" s="20"/>
      <c r="K14" s="11"/>
      <c r="L14" s="14"/>
    </row>
    <row r="15" customFormat="false" ht="15" hidden="false" customHeight="false" outlineLevel="0" collapsed="false">
      <c r="A15" s="7" t="s">
        <v>142</v>
      </c>
      <c r="B15" s="11" t="s">
        <v>138</v>
      </c>
      <c r="C15" s="14" t="s">
        <v>139</v>
      </c>
      <c r="D15" s="11" t="s">
        <v>129</v>
      </c>
      <c r="E15" s="14" t="s">
        <v>140</v>
      </c>
      <c r="F15" s="17" t="s">
        <v>125</v>
      </c>
      <c r="G15" s="17" t="s">
        <v>7</v>
      </c>
      <c r="H15" s="20"/>
      <c r="I15" s="20"/>
      <c r="J15" s="20"/>
      <c r="K15" s="11"/>
      <c r="L15" s="14" t="s">
        <v>143</v>
      </c>
    </row>
    <row r="16" customFormat="false" ht="15" hidden="false" customHeight="false" outlineLevel="0" collapsed="false">
      <c r="A16" s="7" t="s">
        <v>144</v>
      </c>
      <c r="B16" s="11" t="s">
        <v>138</v>
      </c>
      <c r="C16" s="14" t="s">
        <v>139</v>
      </c>
      <c r="D16" s="11" t="s">
        <v>127</v>
      </c>
      <c r="E16" s="14" t="s">
        <v>140</v>
      </c>
      <c r="F16" s="17" t="s">
        <v>125</v>
      </c>
      <c r="G16" s="17" t="s">
        <v>6</v>
      </c>
      <c r="H16" s="20"/>
      <c r="I16" s="20"/>
      <c r="J16" s="20"/>
      <c r="K16" s="11"/>
      <c r="L16" s="14"/>
    </row>
    <row r="17" customFormat="false" ht="15" hidden="false" customHeight="false" outlineLevel="0" collapsed="false">
      <c r="A17" s="7" t="s">
        <v>145</v>
      </c>
      <c r="B17" s="11" t="s">
        <v>138</v>
      </c>
      <c r="C17" s="14" t="s">
        <v>139</v>
      </c>
      <c r="D17" s="11" t="s">
        <v>127</v>
      </c>
      <c r="E17" s="14" t="s">
        <v>140</v>
      </c>
      <c r="F17" s="17" t="s">
        <v>125</v>
      </c>
      <c r="G17" s="17" t="s">
        <v>7</v>
      </c>
      <c r="H17" s="20"/>
      <c r="I17" s="20"/>
      <c r="J17" s="20"/>
      <c r="K17" s="11" t="s">
        <v>146</v>
      </c>
      <c r="L17" s="14"/>
    </row>
    <row r="18" customFormat="false" ht="15" hidden="false" customHeight="false" outlineLevel="0" collapsed="false">
      <c r="A18" s="7" t="s">
        <v>147</v>
      </c>
      <c r="B18" s="11" t="s">
        <v>138</v>
      </c>
      <c r="C18" s="14" t="s">
        <v>139</v>
      </c>
      <c r="D18" s="11" t="s">
        <v>123</v>
      </c>
      <c r="E18" s="14" t="s">
        <v>140</v>
      </c>
      <c r="F18" s="17" t="s">
        <v>125</v>
      </c>
      <c r="G18" s="17" t="s">
        <v>6</v>
      </c>
      <c r="H18" s="20"/>
      <c r="I18" s="20"/>
      <c r="J18" s="20"/>
      <c r="K18" s="11"/>
      <c r="L18" s="14"/>
    </row>
    <row r="19" customFormat="false" ht="15" hidden="false" customHeight="false" outlineLevel="0" collapsed="false">
      <c r="A19" s="7" t="s">
        <v>148</v>
      </c>
      <c r="B19" s="11" t="s">
        <v>138</v>
      </c>
      <c r="C19" s="14" t="s">
        <v>139</v>
      </c>
      <c r="D19" s="11" t="s">
        <v>127</v>
      </c>
      <c r="E19" s="14" t="s">
        <v>140</v>
      </c>
      <c r="F19" s="17" t="s">
        <v>125</v>
      </c>
      <c r="G19" s="17" t="s">
        <v>6</v>
      </c>
      <c r="H19" s="20"/>
      <c r="I19" s="20"/>
      <c r="J19" s="20"/>
      <c r="K19" s="11"/>
      <c r="L19" s="14"/>
    </row>
    <row r="20" customFormat="false" ht="15" hidden="false" customHeight="false" outlineLevel="0" collapsed="false">
      <c r="A20" s="7" t="s">
        <v>149</v>
      </c>
      <c r="B20" s="11" t="s">
        <v>138</v>
      </c>
      <c r="C20" s="14" t="s">
        <v>139</v>
      </c>
      <c r="D20" s="11" t="s">
        <v>123</v>
      </c>
      <c r="E20" s="14" t="s">
        <v>140</v>
      </c>
      <c r="F20" s="17" t="s">
        <v>125</v>
      </c>
      <c r="G20" s="17" t="s">
        <v>6</v>
      </c>
      <c r="H20" s="20"/>
      <c r="I20" s="20"/>
      <c r="J20" s="20"/>
      <c r="K20" s="11"/>
      <c r="L20" s="14"/>
    </row>
    <row r="21" customFormat="false" ht="15" hidden="false" customHeight="false" outlineLevel="0" collapsed="false">
      <c r="A21" s="7" t="s">
        <v>150</v>
      </c>
      <c r="B21" s="11" t="s">
        <v>138</v>
      </c>
      <c r="C21" s="14" t="s">
        <v>139</v>
      </c>
      <c r="D21" s="11" t="s">
        <v>123</v>
      </c>
      <c r="E21" s="14" t="s">
        <v>140</v>
      </c>
      <c r="F21" s="17" t="s">
        <v>125</v>
      </c>
      <c r="G21" s="17" t="s">
        <v>6</v>
      </c>
      <c r="H21" s="20"/>
      <c r="I21" s="20"/>
      <c r="J21" s="20"/>
      <c r="K21" s="11"/>
      <c r="L21" s="14"/>
    </row>
    <row r="22" customFormat="false" ht="15" hidden="false" customHeight="false" outlineLevel="0" collapsed="false">
      <c r="A22" s="7" t="s">
        <v>151</v>
      </c>
      <c r="B22" s="11" t="s">
        <v>138</v>
      </c>
      <c r="C22" s="14" t="s">
        <v>139</v>
      </c>
      <c r="D22" s="11" t="s">
        <v>129</v>
      </c>
      <c r="E22" s="14" t="s">
        <v>140</v>
      </c>
      <c r="F22" s="17" t="s">
        <v>125</v>
      </c>
      <c r="G22" s="17" t="s">
        <v>6</v>
      </c>
      <c r="H22" s="20"/>
      <c r="I22" s="20"/>
      <c r="J22" s="20"/>
      <c r="K22" s="11"/>
      <c r="L22" s="14"/>
    </row>
    <row r="23" customFormat="false" ht="15" hidden="false" customHeight="false" outlineLevel="0" collapsed="false">
      <c r="A23" s="7" t="s">
        <v>152</v>
      </c>
      <c r="B23" s="11" t="s">
        <v>138</v>
      </c>
      <c r="C23" s="14" t="s">
        <v>139</v>
      </c>
      <c r="D23" s="11" t="s">
        <v>123</v>
      </c>
      <c r="E23" s="14" t="s">
        <v>140</v>
      </c>
      <c r="F23" s="17" t="s">
        <v>125</v>
      </c>
      <c r="G23" s="17" t="s">
        <v>6</v>
      </c>
      <c r="H23" s="20"/>
      <c r="I23" s="20"/>
      <c r="J23" s="20"/>
      <c r="K23" s="11"/>
      <c r="L23" s="14"/>
    </row>
    <row r="24" customFormat="false" ht="15" hidden="false" customHeight="false" outlineLevel="0" collapsed="false">
      <c r="A24" s="7" t="s">
        <v>153</v>
      </c>
      <c r="B24" s="11" t="s">
        <v>138</v>
      </c>
      <c r="C24" s="14" t="s">
        <v>139</v>
      </c>
      <c r="D24" s="11" t="s">
        <v>127</v>
      </c>
      <c r="E24" s="14" t="s">
        <v>140</v>
      </c>
      <c r="F24" s="17" t="s">
        <v>125</v>
      </c>
      <c r="G24" s="17" t="s">
        <v>6</v>
      </c>
      <c r="H24" s="20"/>
      <c r="I24" s="20"/>
      <c r="J24" s="20"/>
      <c r="K24" s="11"/>
      <c r="L24" s="14"/>
    </row>
    <row r="25" customFormat="false" ht="15" hidden="false" customHeight="false" outlineLevel="0" collapsed="false">
      <c r="A25" s="7" t="s">
        <v>154</v>
      </c>
      <c r="B25" s="11" t="s">
        <v>155</v>
      </c>
      <c r="C25" s="14" t="s">
        <v>156</v>
      </c>
      <c r="D25" s="11" t="s">
        <v>123</v>
      </c>
      <c r="E25" s="14" t="s">
        <v>157</v>
      </c>
      <c r="F25" s="17" t="s">
        <v>125</v>
      </c>
      <c r="G25" s="17" t="s">
        <v>6</v>
      </c>
      <c r="H25" s="20"/>
      <c r="I25" s="20"/>
      <c r="J25" s="20"/>
      <c r="K25" s="11"/>
      <c r="L25" s="14"/>
    </row>
    <row r="26" customFormat="false" ht="15" hidden="false" customHeight="false" outlineLevel="0" collapsed="false">
      <c r="A26" s="7" t="s">
        <v>158</v>
      </c>
      <c r="B26" s="11" t="s">
        <v>155</v>
      </c>
      <c r="C26" s="14" t="s">
        <v>156</v>
      </c>
      <c r="D26" s="11" t="s">
        <v>123</v>
      </c>
      <c r="E26" s="14" t="s">
        <v>157</v>
      </c>
      <c r="F26" s="17" t="s">
        <v>125</v>
      </c>
      <c r="G26" s="17" t="s">
        <v>6</v>
      </c>
      <c r="H26" s="20"/>
      <c r="I26" s="20"/>
      <c r="J26" s="20"/>
      <c r="K26" s="11"/>
      <c r="L26" s="14"/>
    </row>
    <row r="27" customFormat="false" ht="15" hidden="false" customHeight="false" outlineLevel="0" collapsed="false">
      <c r="A27" s="7" t="s">
        <v>159</v>
      </c>
      <c r="B27" s="11" t="s">
        <v>155</v>
      </c>
      <c r="C27" s="14" t="s">
        <v>156</v>
      </c>
      <c r="D27" s="11" t="s">
        <v>123</v>
      </c>
      <c r="E27" s="14" t="s">
        <v>157</v>
      </c>
      <c r="F27" s="17" t="s">
        <v>125</v>
      </c>
      <c r="G27" s="17" t="s">
        <v>6</v>
      </c>
      <c r="H27" s="20"/>
      <c r="I27" s="20"/>
      <c r="J27" s="20"/>
      <c r="K27" s="11"/>
      <c r="L27" s="14"/>
    </row>
    <row r="28" customFormat="false" ht="15" hidden="false" customHeight="false" outlineLevel="0" collapsed="false">
      <c r="A28" s="7" t="s">
        <v>160</v>
      </c>
      <c r="B28" s="11" t="s">
        <v>155</v>
      </c>
      <c r="C28" s="14" t="s">
        <v>156</v>
      </c>
      <c r="D28" s="11" t="s">
        <v>123</v>
      </c>
      <c r="E28" s="14" t="s">
        <v>157</v>
      </c>
      <c r="F28" s="17" t="s">
        <v>125</v>
      </c>
      <c r="G28" s="17" t="s">
        <v>6</v>
      </c>
      <c r="H28" s="20"/>
      <c r="I28" s="20"/>
      <c r="J28" s="20"/>
      <c r="K28" s="11"/>
      <c r="L28" s="14"/>
    </row>
    <row r="29" customFormat="false" ht="15" hidden="false" customHeight="false" outlineLevel="0" collapsed="false">
      <c r="A29" s="7" t="s">
        <v>161</v>
      </c>
      <c r="B29" s="11" t="s">
        <v>155</v>
      </c>
      <c r="C29" s="14" t="s">
        <v>156</v>
      </c>
      <c r="D29" s="11" t="s">
        <v>129</v>
      </c>
      <c r="E29" s="14" t="s">
        <v>157</v>
      </c>
      <c r="F29" s="17" t="s">
        <v>125</v>
      </c>
      <c r="G29" s="17" t="s">
        <v>6</v>
      </c>
      <c r="H29" s="20"/>
      <c r="I29" s="20"/>
      <c r="J29" s="20"/>
      <c r="K29" s="11"/>
      <c r="L29" s="14"/>
    </row>
    <row r="30" customFormat="false" ht="15" hidden="false" customHeight="false" outlineLevel="0" collapsed="false">
      <c r="A30" s="7" t="s">
        <v>162</v>
      </c>
      <c r="B30" s="11" t="s">
        <v>155</v>
      </c>
      <c r="C30" s="14" t="s">
        <v>156</v>
      </c>
      <c r="D30" s="11" t="s">
        <v>129</v>
      </c>
      <c r="E30" s="14" t="s">
        <v>157</v>
      </c>
      <c r="F30" s="17" t="s">
        <v>125</v>
      </c>
      <c r="G30" s="17" t="s">
        <v>6</v>
      </c>
      <c r="H30" s="20"/>
      <c r="I30" s="20"/>
      <c r="J30" s="20"/>
      <c r="K30" s="11"/>
      <c r="L30" s="14"/>
    </row>
    <row r="31" customFormat="false" ht="15" hidden="false" customHeight="false" outlineLevel="0" collapsed="false">
      <c r="A31" s="7" t="s">
        <v>163</v>
      </c>
      <c r="B31" s="11" t="s">
        <v>155</v>
      </c>
      <c r="C31" s="14" t="s">
        <v>156</v>
      </c>
      <c r="D31" s="11" t="s">
        <v>129</v>
      </c>
      <c r="E31" s="14" t="s">
        <v>157</v>
      </c>
      <c r="F31" s="17" t="s">
        <v>125</v>
      </c>
      <c r="G31" s="17" t="s">
        <v>6</v>
      </c>
      <c r="H31" s="20"/>
      <c r="I31" s="20"/>
      <c r="J31" s="20"/>
      <c r="K31" s="11"/>
      <c r="L31" s="14"/>
    </row>
    <row r="32" customFormat="false" ht="15" hidden="false" customHeight="false" outlineLevel="0" collapsed="false">
      <c r="A32" s="7" t="s">
        <v>164</v>
      </c>
      <c r="B32" s="11" t="s">
        <v>155</v>
      </c>
      <c r="C32" s="14" t="s">
        <v>156</v>
      </c>
      <c r="D32" s="11" t="s">
        <v>127</v>
      </c>
      <c r="E32" s="14" t="s">
        <v>157</v>
      </c>
      <c r="F32" s="17" t="s">
        <v>125</v>
      </c>
      <c r="G32" s="17" t="s">
        <v>6</v>
      </c>
      <c r="H32" s="20"/>
      <c r="I32" s="20"/>
      <c r="J32" s="20"/>
      <c r="K32" s="11"/>
      <c r="L32" s="14"/>
    </row>
    <row r="33" customFormat="false" ht="15" hidden="false" customHeight="false" outlineLevel="0" collapsed="false">
      <c r="A33" s="7" t="s">
        <v>165</v>
      </c>
      <c r="B33" s="11" t="s">
        <v>155</v>
      </c>
      <c r="C33" s="14" t="s">
        <v>156</v>
      </c>
      <c r="D33" s="11" t="s">
        <v>123</v>
      </c>
      <c r="E33" s="14" t="s">
        <v>157</v>
      </c>
      <c r="F33" s="17" t="s">
        <v>125</v>
      </c>
      <c r="G33" s="17" t="s">
        <v>6</v>
      </c>
      <c r="H33" s="20"/>
      <c r="I33" s="20"/>
      <c r="J33" s="20"/>
      <c r="K33" s="11"/>
      <c r="L33" s="14"/>
    </row>
    <row r="34" customFormat="false" ht="15" hidden="false" customHeight="false" outlineLevel="0" collapsed="false">
      <c r="A34" s="7" t="s">
        <v>166</v>
      </c>
      <c r="B34" s="11" t="s">
        <v>155</v>
      </c>
      <c r="C34" s="14" t="s">
        <v>156</v>
      </c>
      <c r="D34" s="11" t="s">
        <v>127</v>
      </c>
      <c r="E34" s="14" t="s">
        <v>157</v>
      </c>
      <c r="F34" s="17" t="s">
        <v>125</v>
      </c>
      <c r="G34" s="17" t="s">
        <v>6</v>
      </c>
      <c r="H34" s="20"/>
      <c r="I34" s="20"/>
      <c r="J34" s="20"/>
      <c r="K34" s="11"/>
      <c r="L34" s="14"/>
    </row>
    <row r="35" customFormat="false" ht="15" hidden="false" customHeight="false" outlineLevel="0" collapsed="false">
      <c r="A35" s="7" t="s">
        <v>167</v>
      </c>
      <c r="B35" s="11" t="s">
        <v>168</v>
      </c>
      <c r="C35" s="14" t="s">
        <v>169</v>
      </c>
      <c r="D35" s="11" t="s">
        <v>123</v>
      </c>
      <c r="E35" s="14" t="s">
        <v>170</v>
      </c>
      <c r="F35" s="17" t="s">
        <v>125</v>
      </c>
      <c r="G35" s="17" t="s">
        <v>6</v>
      </c>
      <c r="H35" s="20"/>
      <c r="I35" s="20"/>
      <c r="J35" s="20"/>
      <c r="K35" s="11"/>
      <c r="L35" s="14"/>
    </row>
    <row r="36" customFormat="false" ht="15" hidden="false" customHeight="false" outlineLevel="0" collapsed="false">
      <c r="A36" s="7" t="s">
        <v>171</v>
      </c>
      <c r="B36" s="11" t="s">
        <v>168</v>
      </c>
      <c r="C36" s="14" t="s">
        <v>169</v>
      </c>
      <c r="D36" s="11" t="s">
        <v>123</v>
      </c>
      <c r="E36" s="14" t="s">
        <v>170</v>
      </c>
      <c r="F36" s="17" t="s">
        <v>125</v>
      </c>
      <c r="G36" s="17" t="s">
        <v>6</v>
      </c>
      <c r="H36" s="20"/>
      <c r="I36" s="20"/>
      <c r="J36" s="20"/>
      <c r="K36" s="11"/>
      <c r="L36" s="14"/>
    </row>
    <row r="37" customFormat="false" ht="15" hidden="false" customHeight="false" outlineLevel="0" collapsed="false">
      <c r="A37" s="7" t="s">
        <v>172</v>
      </c>
      <c r="B37" s="11" t="s">
        <v>168</v>
      </c>
      <c r="C37" s="14" t="s">
        <v>169</v>
      </c>
      <c r="D37" s="11" t="s">
        <v>129</v>
      </c>
      <c r="E37" s="14" t="s">
        <v>170</v>
      </c>
      <c r="F37" s="17" t="s">
        <v>125</v>
      </c>
      <c r="G37" s="17" t="s">
        <v>6</v>
      </c>
      <c r="H37" s="20"/>
      <c r="I37" s="20"/>
      <c r="J37" s="20"/>
      <c r="K37" s="11"/>
      <c r="L37" s="14"/>
    </row>
    <row r="38" customFormat="false" ht="15" hidden="false" customHeight="false" outlineLevel="0" collapsed="false">
      <c r="A38" s="7" t="s">
        <v>173</v>
      </c>
      <c r="B38" s="11" t="s">
        <v>168</v>
      </c>
      <c r="C38" s="14" t="s">
        <v>169</v>
      </c>
      <c r="D38" s="11" t="s">
        <v>129</v>
      </c>
      <c r="E38" s="14" t="s">
        <v>170</v>
      </c>
      <c r="F38" s="17" t="s">
        <v>125</v>
      </c>
      <c r="G38" s="17" t="s">
        <v>6</v>
      </c>
      <c r="H38" s="20"/>
      <c r="I38" s="20"/>
      <c r="J38" s="20"/>
      <c r="K38" s="11"/>
      <c r="L38" s="14"/>
    </row>
    <row r="39" customFormat="false" ht="15" hidden="false" customHeight="false" outlineLevel="0" collapsed="false">
      <c r="A39" s="7" t="s">
        <v>174</v>
      </c>
      <c r="B39" s="11" t="s">
        <v>168</v>
      </c>
      <c r="C39" s="14" t="s">
        <v>169</v>
      </c>
      <c r="D39" s="11" t="s">
        <v>129</v>
      </c>
      <c r="E39" s="14" t="s">
        <v>170</v>
      </c>
      <c r="F39" s="17" t="s">
        <v>125</v>
      </c>
      <c r="G39" s="17" t="s">
        <v>6</v>
      </c>
      <c r="H39" s="20"/>
      <c r="I39" s="20"/>
      <c r="J39" s="20"/>
      <c r="K39" s="11"/>
      <c r="L39" s="14"/>
    </row>
    <row r="40" customFormat="false" ht="23.85" hidden="false" customHeight="false" outlineLevel="0" collapsed="false">
      <c r="A40" s="7" t="s">
        <v>175</v>
      </c>
      <c r="B40" s="11" t="s">
        <v>168</v>
      </c>
      <c r="C40" s="14" t="s">
        <v>169</v>
      </c>
      <c r="D40" s="11" t="s">
        <v>129</v>
      </c>
      <c r="E40" s="14" t="s">
        <v>170</v>
      </c>
      <c r="F40" s="17" t="s">
        <v>125</v>
      </c>
      <c r="G40" s="17" t="s">
        <v>7</v>
      </c>
      <c r="H40" s="20"/>
      <c r="I40" s="20"/>
      <c r="J40" s="20"/>
      <c r="K40" s="11"/>
      <c r="L40" s="14" t="s">
        <v>176</v>
      </c>
    </row>
    <row r="41" customFormat="false" ht="15" hidden="false" customHeight="false" outlineLevel="0" collapsed="false">
      <c r="A41" s="7" t="s">
        <v>177</v>
      </c>
      <c r="B41" s="11" t="s">
        <v>168</v>
      </c>
      <c r="C41" s="14" t="s">
        <v>169</v>
      </c>
      <c r="D41" s="11" t="s">
        <v>127</v>
      </c>
      <c r="E41" s="14" t="s">
        <v>170</v>
      </c>
      <c r="F41" s="17" t="s">
        <v>125</v>
      </c>
      <c r="G41" s="17" t="s">
        <v>7</v>
      </c>
      <c r="H41" s="20"/>
      <c r="I41" s="20"/>
      <c r="J41" s="20"/>
      <c r="K41" s="11" t="s">
        <v>178</v>
      </c>
      <c r="L41" s="14"/>
    </row>
    <row r="42" customFormat="false" ht="15" hidden="false" customHeight="false" outlineLevel="0" collapsed="false">
      <c r="A42" s="7" t="s">
        <v>179</v>
      </c>
      <c r="B42" s="11" t="s">
        <v>168</v>
      </c>
      <c r="C42" s="14" t="s">
        <v>169</v>
      </c>
      <c r="D42" s="11" t="s">
        <v>123</v>
      </c>
      <c r="E42" s="14" t="s">
        <v>170</v>
      </c>
      <c r="F42" s="17" t="s">
        <v>125</v>
      </c>
      <c r="G42" s="17" t="s">
        <v>6</v>
      </c>
      <c r="H42" s="20"/>
      <c r="I42" s="20"/>
      <c r="J42" s="20"/>
      <c r="K42" s="11"/>
      <c r="L42" s="14"/>
    </row>
    <row r="43" customFormat="false" ht="15" hidden="false" customHeight="false" outlineLevel="0" collapsed="false">
      <c r="A43" s="7" t="s">
        <v>180</v>
      </c>
      <c r="B43" s="11" t="s">
        <v>168</v>
      </c>
      <c r="C43" s="14" t="s">
        <v>169</v>
      </c>
      <c r="D43" s="11" t="s">
        <v>129</v>
      </c>
      <c r="E43" s="14" t="s">
        <v>170</v>
      </c>
      <c r="F43" s="17" t="s">
        <v>125</v>
      </c>
      <c r="G43" s="17" t="s">
        <v>7</v>
      </c>
      <c r="H43" s="20"/>
      <c r="I43" s="20"/>
      <c r="J43" s="20"/>
      <c r="K43" s="11"/>
      <c r="L43" s="14" t="s">
        <v>181</v>
      </c>
    </row>
    <row r="44" customFormat="false" ht="15" hidden="false" customHeight="false" outlineLevel="0" collapsed="false">
      <c r="A44" s="7" t="s">
        <v>182</v>
      </c>
      <c r="B44" s="11" t="s">
        <v>168</v>
      </c>
      <c r="C44" s="14" t="s">
        <v>169</v>
      </c>
      <c r="D44" s="11" t="s">
        <v>129</v>
      </c>
      <c r="E44" s="14" t="s">
        <v>170</v>
      </c>
      <c r="F44" s="17" t="s">
        <v>125</v>
      </c>
      <c r="G44" s="17" t="s">
        <v>6</v>
      </c>
      <c r="H44" s="20"/>
      <c r="I44" s="20"/>
      <c r="J44" s="20"/>
      <c r="K44" s="11"/>
      <c r="L44" s="14"/>
    </row>
    <row r="45" customFormat="false" ht="15" hidden="false" customHeight="false" outlineLevel="0" collapsed="false">
      <c r="A45" s="7" t="s">
        <v>183</v>
      </c>
      <c r="B45" s="11" t="s">
        <v>168</v>
      </c>
      <c r="C45" s="14" t="s">
        <v>169</v>
      </c>
      <c r="D45" s="11" t="s">
        <v>127</v>
      </c>
      <c r="E45" s="14" t="s">
        <v>170</v>
      </c>
      <c r="F45" s="17" t="s">
        <v>125</v>
      </c>
      <c r="G45" s="17" t="s">
        <v>6</v>
      </c>
      <c r="H45" s="20"/>
      <c r="I45" s="20"/>
      <c r="J45" s="20"/>
      <c r="K45" s="11"/>
      <c r="L45" s="14"/>
    </row>
    <row r="46" customFormat="false" ht="15" hidden="false" customHeight="false" outlineLevel="0" collapsed="false">
      <c r="A46" s="7" t="s">
        <v>184</v>
      </c>
      <c r="B46" s="11" t="s">
        <v>185</v>
      </c>
      <c r="C46" s="14" t="s">
        <v>186</v>
      </c>
      <c r="D46" s="11" t="s">
        <v>123</v>
      </c>
      <c r="E46" s="14" t="s">
        <v>187</v>
      </c>
      <c r="F46" s="17" t="s">
        <v>125</v>
      </c>
      <c r="G46" s="17" t="s">
        <v>6</v>
      </c>
      <c r="H46" s="20"/>
      <c r="I46" s="20"/>
      <c r="J46" s="20"/>
      <c r="K46" s="11"/>
      <c r="L46" s="14"/>
    </row>
    <row r="47" customFormat="false" ht="15" hidden="false" customHeight="false" outlineLevel="0" collapsed="false">
      <c r="A47" s="7" t="s">
        <v>188</v>
      </c>
      <c r="B47" s="11" t="s">
        <v>185</v>
      </c>
      <c r="C47" s="14" t="s">
        <v>186</v>
      </c>
      <c r="D47" s="11" t="s">
        <v>123</v>
      </c>
      <c r="E47" s="14" t="s">
        <v>187</v>
      </c>
      <c r="F47" s="17" t="s">
        <v>125</v>
      </c>
      <c r="G47" s="17" t="s">
        <v>6</v>
      </c>
      <c r="H47" s="20"/>
      <c r="I47" s="20"/>
      <c r="J47" s="20"/>
      <c r="K47" s="11"/>
      <c r="L47" s="14"/>
    </row>
    <row r="48" customFormat="false" ht="15" hidden="false" customHeight="false" outlineLevel="0" collapsed="false">
      <c r="A48" s="7" t="s">
        <v>189</v>
      </c>
      <c r="B48" s="11" t="s">
        <v>185</v>
      </c>
      <c r="C48" s="14" t="s">
        <v>186</v>
      </c>
      <c r="D48" s="11" t="s">
        <v>123</v>
      </c>
      <c r="E48" s="14" t="s">
        <v>187</v>
      </c>
      <c r="F48" s="17" t="s">
        <v>125</v>
      </c>
      <c r="G48" s="17" t="s">
        <v>6</v>
      </c>
      <c r="H48" s="20"/>
      <c r="I48" s="20"/>
      <c r="J48" s="20"/>
      <c r="K48" s="11"/>
      <c r="L48" s="14"/>
    </row>
    <row r="49" customFormat="false" ht="15" hidden="false" customHeight="false" outlineLevel="0" collapsed="false">
      <c r="A49" s="7" t="s">
        <v>190</v>
      </c>
      <c r="B49" s="11" t="s">
        <v>185</v>
      </c>
      <c r="C49" s="14" t="s">
        <v>186</v>
      </c>
      <c r="D49" s="11" t="s">
        <v>123</v>
      </c>
      <c r="E49" s="14" t="s">
        <v>187</v>
      </c>
      <c r="F49" s="17" t="s">
        <v>125</v>
      </c>
      <c r="G49" s="17" t="s">
        <v>6</v>
      </c>
      <c r="H49" s="20"/>
      <c r="I49" s="20"/>
      <c r="J49" s="20"/>
      <c r="K49" s="11"/>
      <c r="L49" s="14"/>
    </row>
    <row r="50" customFormat="false" ht="15" hidden="false" customHeight="false" outlineLevel="0" collapsed="false">
      <c r="A50" s="7" t="s">
        <v>191</v>
      </c>
      <c r="B50" s="11" t="s">
        <v>185</v>
      </c>
      <c r="C50" s="14" t="s">
        <v>186</v>
      </c>
      <c r="D50" s="11" t="s">
        <v>123</v>
      </c>
      <c r="E50" s="14" t="s">
        <v>187</v>
      </c>
      <c r="F50" s="17" t="s">
        <v>125</v>
      </c>
      <c r="G50" s="17" t="s">
        <v>6</v>
      </c>
      <c r="H50" s="20"/>
      <c r="I50" s="20"/>
      <c r="J50" s="20"/>
      <c r="K50" s="11"/>
      <c r="L50" s="14"/>
    </row>
    <row r="51" customFormat="false" ht="15" hidden="false" customHeight="false" outlineLevel="0" collapsed="false">
      <c r="A51" s="7" t="s">
        <v>192</v>
      </c>
      <c r="B51" s="11" t="s">
        <v>185</v>
      </c>
      <c r="C51" s="14" t="s">
        <v>186</v>
      </c>
      <c r="D51" s="11" t="s">
        <v>123</v>
      </c>
      <c r="E51" s="14" t="s">
        <v>187</v>
      </c>
      <c r="F51" s="17" t="s">
        <v>125</v>
      </c>
      <c r="G51" s="17" t="s">
        <v>7</v>
      </c>
      <c r="H51" s="20"/>
      <c r="I51" s="20"/>
      <c r="J51" s="20"/>
      <c r="K51" s="11" t="s">
        <v>193</v>
      </c>
      <c r="L51" s="14"/>
    </row>
    <row r="52" customFormat="false" ht="15" hidden="false" customHeight="false" outlineLevel="0" collapsed="false">
      <c r="A52" s="7" t="s">
        <v>194</v>
      </c>
      <c r="B52" s="11" t="s">
        <v>185</v>
      </c>
      <c r="C52" s="14" t="s">
        <v>186</v>
      </c>
      <c r="D52" s="11" t="s">
        <v>129</v>
      </c>
      <c r="E52" s="14" t="s">
        <v>187</v>
      </c>
      <c r="F52" s="17" t="s">
        <v>125</v>
      </c>
      <c r="G52" s="17" t="s">
        <v>7</v>
      </c>
      <c r="H52" s="20"/>
      <c r="I52" s="20"/>
      <c r="J52" s="20"/>
      <c r="K52" s="11" t="s">
        <v>195</v>
      </c>
      <c r="L52" s="14"/>
    </row>
    <row r="53" customFormat="false" ht="15" hidden="false" customHeight="false" outlineLevel="0" collapsed="false">
      <c r="A53" s="7" t="s">
        <v>196</v>
      </c>
      <c r="B53" s="11" t="s">
        <v>185</v>
      </c>
      <c r="C53" s="14" t="s">
        <v>186</v>
      </c>
      <c r="D53" s="11" t="s">
        <v>127</v>
      </c>
      <c r="E53" s="14" t="s">
        <v>187</v>
      </c>
      <c r="F53" s="17" t="s">
        <v>125</v>
      </c>
      <c r="G53" s="17" t="s">
        <v>6</v>
      </c>
      <c r="H53" s="20"/>
      <c r="I53" s="20"/>
      <c r="J53" s="20"/>
      <c r="K53" s="11"/>
      <c r="L53" s="14"/>
    </row>
    <row r="54" customFormat="false" ht="15" hidden="false" customHeight="false" outlineLevel="0" collapsed="false">
      <c r="A54" s="7" t="s">
        <v>197</v>
      </c>
      <c r="B54" s="11" t="s">
        <v>185</v>
      </c>
      <c r="C54" s="14" t="s">
        <v>186</v>
      </c>
      <c r="D54" s="11" t="s">
        <v>127</v>
      </c>
      <c r="E54" s="14" t="s">
        <v>187</v>
      </c>
      <c r="F54" s="17" t="s">
        <v>125</v>
      </c>
      <c r="G54" s="17" t="s">
        <v>6</v>
      </c>
      <c r="H54" s="20"/>
      <c r="I54" s="20"/>
      <c r="J54" s="20"/>
      <c r="K54" s="11"/>
      <c r="L54" s="14"/>
    </row>
    <row r="55" customFormat="false" ht="15" hidden="false" customHeight="false" outlineLevel="0" collapsed="false">
      <c r="A55" s="7" t="s">
        <v>198</v>
      </c>
      <c r="B55" s="11" t="s">
        <v>185</v>
      </c>
      <c r="C55" s="14" t="s">
        <v>186</v>
      </c>
      <c r="D55" s="11" t="s">
        <v>123</v>
      </c>
      <c r="E55" s="14" t="s">
        <v>199</v>
      </c>
      <c r="F55" s="17" t="s">
        <v>125</v>
      </c>
      <c r="G55" s="17" t="s">
        <v>6</v>
      </c>
      <c r="H55" s="20"/>
      <c r="I55" s="20"/>
      <c r="J55" s="20"/>
      <c r="K55" s="11"/>
      <c r="L55" s="14"/>
    </row>
    <row r="56" customFormat="false" ht="15" hidden="false" customHeight="false" outlineLevel="0" collapsed="false">
      <c r="A56" s="7" t="s">
        <v>200</v>
      </c>
      <c r="B56" s="11" t="s">
        <v>185</v>
      </c>
      <c r="C56" s="14" t="s">
        <v>186</v>
      </c>
      <c r="D56" s="11" t="s">
        <v>123</v>
      </c>
      <c r="E56" s="14" t="s">
        <v>199</v>
      </c>
      <c r="F56" s="17" t="s">
        <v>125</v>
      </c>
      <c r="G56" s="17" t="s">
        <v>6</v>
      </c>
      <c r="H56" s="20"/>
      <c r="I56" s="20"/>
      <c r="J56" s="20"/>
      <c r="K56" s="11"/>
      <c r="L56" s="14"/>
    </row>
    <row r="57" customFormat="false" ht="15" hidden="false" customHeight="false" outlineLevel="0" collapsed="false">
      <c r="A57" s="7" t="s">
        <v>201</v>
      </c>
      <c r="B57" s="11" t="s">
        <v>185</v>
      </c>
      <c r="C57" s="14" t="s">
        <v>186</v>
      </c>
      <c r="D57" s="11" t="s">
        <v>123</v>
      </c>
      <c r="E57" s="14" t="s">
        <v>199</v>
      </c>
      <c r="F57" s="17" t="s">
        <v>125</v>
      </c>
      <c r="G57" s="17" t="s">
        <v>6</v>
      </c>
      <c r="H57" s="20"/>
      <c r="I57" s="20"/>
      <c r="J57" s="20"/>
      <c r="K57" s="11"/>
      <c r="L57" s="14"/>
    </row>
    <row r="58" customFormat="false" ht="15" hidden="false" customHeight="false" outlineLevel="0" collapsed="false">
      <c r="A58" s="7" t="s">
        <v>202</v>
      </c>
      <c r="B58" s="11" t="s">
        <v>185</v>
      </c>
      <c r="C58" s="14" t="s">
        <v>186</v>
      </c>
      <c r="D58" s="11" t="s">
        <v>123</v>
      </c>
      <c r="E58" s="14" t="s">
        <v>199</v>
      </c>
      <c r="F58" s="17" t="s">
        <v>125</v>
      </c>
      <c r="G58" s="17" t="s">
        <v>6</v>
      </c>
      <c r="H58" s="20"/>
      <c r="I58" s="20"/>
      <c r="J58" s="20"/>
      <c r="K58" s="11"/>
      <c r="L58" s="14"/>
    </row>
    <row r="59" customFormat="false" ht="15" hidden="false" customHeight="false" outlineLevel="0" collapsed="false">
      <c r="A59" s="7" t="s">
        <v>203</v>
      </c>
      <c r="B59" s="11" t="s">
        <v>185</v>
      </c>
      <c r="C59" s="14" t="s">
        <v>186</v>
      </c>
      <c r="D59" s="11" t="s">
        <v>129</v>
      </c>
      <c r="E59" s="14" t="s">
        <v>199</v>
      </c>
      <c r="F59" s="17" t="s">
        <v>125</v>
      </c>
      <c r="G59" s="17" t="s">
        <v>6</v>
      </c>
      <c r="H59" s="20"/>
      <c r="I59" s="20"/>
      <c r="J59" s="20"/>
      <c r="K59" s="11"/>
      <c r="L59" s="14"/>
    </row>
    <row r="60" customFormat="false" ht="15" hidden="false" customHeight="false" outlineLevel="0" collapsed="false">
      <c r="A60" s="7" t="s">
        <v>204</v>
      </c>
      <c r="B60" s="11" t="s">
        <v>185</v>
      </c>
      <c r="C60" s="14" t="s">
        <v>186</v>
      </c>
      <c r="D60" s="11" t="s">
        <v>123</v>
      </c>
      <c r="E60" s="14" t="s">
        <v>199</v>
      </c>
      <c r="F60" s="17" t="s">
        <v>125</v>
      </c>
      <c r="G60" s="17" t="s">
        <v>6</v>
      </c>
      <c r="H60" s="20"/>
      <c r="I60" s="20"/>
      <c r="J60" s="20"/>
      <c r="K60" s="11"/>
      <c r="L60" s="14"/>
    </row>
    <row r="61" customFormat="false" ht="15" hidden="false" customHeight="false" outlineLevel="0" collapsed="false">
      <c r="A61" s="7" t="s">
        <v>205</v>
      </c>
      <c r="B61" s="11" t="s">
        <v>185</v>
      </c>
      <c r="C61" s="14" t="s">
        <v>186</v>
      </c>
      <c r="D61" s="11" t="s">
        <v>127</v>
      </c>
      <c r="E61" s="14" t="s">
        <v>199</v>
      </c>
      <c r="F61" s="17" t="s">
        <v>125</v>
      </c>
      <c r="G61" s="17" t="s">
        <v>6</v>
      </c>
      <c r="H61" s="20"/>
      <c r="I61" s="20"/>
      <c r="J61" s="20"/>
      <c r="K61" s="11"/>
      <c r="L61" s="14"/>
    </row>
    <row r="62" customFormat="false" ht="15" hidden="false" customHeight="false" outlineLevel="0" collapsed="false">
      <c r="A62" s="7" t="s">
        <v>206</v>
      </c>
      <c r="B62" s="11" t="s">
        <v>207</v>
      </c>
      <c r="C62" s="14" t="s">
        <v>208</v>
      </c>
      <c r="D62" s="11" t="s">
        <v>123</v>
      </c>
      <c r="E62" s="14" t="s">
        <v>199</v>
      </c>
      <c r="F62" s="17" t="s">
        <v>125</v>
      </c>
      <c r="G62" s="17" t="s">
        <v>6</v>
      </c>
      <c r="H62" s="20"/>
      <c r="I62" s="20"/>
      <c r="J62" s="20"/>
      <c r="K62" s="11"/>
      <c r="L62" s="14"/>
    </row>
    <row r="63" customFormat="false" ht="15" hidden="false" customHeight="false" outlineLevel="0" collapsed="false">
      <c r="A63" s="7" t="s">
        <v>209</v>
      </c>
      <c r="B63" s="11" t="s">
        <v>207</v>
      </c>
      <c r="C63" s="14" t="s">
        <v>208</v>
      </c>
      <c r="D63" s="11" t="s">
        <v>127</v>
      </c>
      <c r="E63" s="14" t="s">
        <v>210</v>
      </c>
      <c r="F63" s="17" t="s">
        <v>125</v>
      </c>
      <c r="G63" s="17" t="s">
        <v>6</v>
      </c>
      <c r="H63" s="20"/>
      <c r="I63" s="20"/>
      <c r="J63" s="20"/>
      <c r="K63" s="11"/>
      <c r="L63" s="14"/>
    </row>
    <row r="64" customFormat="false" ht="15" hidden="false" customHeight="false" outlineLevel="0" collapsed="false">
      <c r="A64" s="7" t="s">
        <v>211</v>
      </c>
      <c r="B64" s="11" t="s">
        <v>207</v>
      </c>
      <c r="C64" s="14" t="s">
        <v>208</v>
      </c>
      <c r="D64" s="11" t="s">
        <v>127</v>
      </c>
      <c r="E64" s="14" t="s">
        <v>212</v>
      </c>
      <c r="F64" s="17" t="s">
        <v>125</v>
      </c>
      <c r="G64" s="17" t="s">
        <v>6</v>
      </c>
      <c r="H64" s="20"/>
      <c r="I64" s="20"/>
      <c r="J64" s="20"/>
      <c r="K64" s="11"/>
      <c r="L64" s="14"/>
    </row>
    <row r="65" customFormat="false" ht="15" hidden="false" customHeight="false" outlineLevel="0" collapsed="false">
      <c r="A65" s="7" t="s">
        <v>213</v>
      </c>
      <c r="B65" s="11" t="s">
        <v>207</v>
      </c>
      <c r="C65" s="14" t="s">
        <v>208</v>
      </c>
      <c r="D65" s="11" t="s">
        <v>127</v>
      </c>
      <c r="E65" s="14" t="s">
        <v>214</v>
      </c>
      <c r="F65" s="17" t="s">
        <v>125</v>
      </c>
      <c r="G65" s="17" t="s">
        <v>6</v>
      </c>
      <c r="H65" s="20"/>
      <c r="I65" s="20"/>
      <c r="J65" s="20"/>
      <c r="K65" s="11"/>
      <c r="L65" s="14"/>
    </row>
    <row r="66" customFormat="false" ht="15" hidden="false" customHeight="false" outlineLevel="0" collapsed="false">
      <c r="A66" s="7" t="s">
        <v>215</v>
      </c>
      <c r="B66" s="11" t="s">
        <v>207</v>
      </c>
      <c r="C66" s="14" t="s">
        <v>208</v>
      </c>
      <c r="D66" s="11" t="s">
        <v>129</v>
      </c>
      <c r="E66" s="14" t="s">
        <v>214</v>
      </c>
      <c r="F66" s="17" t="s">
        <v>125</v>
      </c>
      <c r="G66" s="17" t="s">
        <v>7</v>
      </c>
      <c r="H66" s="20"/>
      <c r="I66" s="20"/>
      <c r="J66" s="20"/>
      <c r="K66" s="11" t="s">
        <v>216</v>
      </c>
      <c r="L66" s="14"/>
    </row>
    <row r="67" customFormat="false" ht="15" hidden="false" customHeight="false" outlineLevel="0" collapsed="false">
      <c r="A67" s="7" t="s">
        <v>217</v>
      </c>
      <c r="B67" s="11" t="s">
        <v>207</v>
      </c>
      <c r="C67" s="14" t="s">
        <v>218</v>
      </c>
      <c r="D67" s="11" t="s">
        <v>123</v>
      </c>
      <c r="E67" s="14" t="s">
        <v>219</v>
      </c>
      <c r="F67" s="17" t="s">
        <v>125</v>
      </c>
      <c r="G67" s="17" t="s">
        <v>6</v>
      </c>
      <c r="H67" s="20"/>
      <c r="I67" s="20"/>
      <c r="J67" s="20"/>
      <c r="K67" s="11"/>
      <c r="L67" s="14" t="s">
        <v>220</v>
      </c>
    </row>
    <row r="68" customFormat="false" ht="15" hidden="false" customHeight="false" outlineLevel="0" collapsed="false">
      <c r="A68" s="7" t="s">
        <v>221</v>
      </c>
      <c r="B68" s="11" t="s">
        <v>207</v>
      </c>
      <c r="C68" s="14" t="s">
        <v>222</v>
      </c>
      <c r="D68" s="11" t="s">
        <v>123</v>
      </c>
      <c r="E68" s="14" t="s">
        <v>223</v>
      </c>
      <c r="F68" s="17" t="s">
        <v>125</v>
      </c>
      <c r="G68" s="17" t="s">
        <v>6</v>
      </c>
      <c r="H68" s="20"/>
      <c r="I68" s="20"/>
      <c r="J68" s="20"/>
      <c r="K68" s="11"/>
      <c r="L68" s="14"/>
    </row>
    <row r="69" customFormat="false" ht="15" hidden="false" customHeight="false" outlineLevel="0" collapsed="false">
      <c r="A69" s="7" t="s">
        <v>224</v>
      </c>
      <c r="B69" s="11" t="s">
        <v>207</v>
      </c>
      <c r="C69" s="14" t="s">
        <v>222</v>
      </c>
      <c r="D69" s="11" t="s">
        <v>123</v>
      </c>
      <c r="E69" s="14" t="s">
        <v>223</v>
      </c>
      <c r="F69" s="17" t="s">
        <v>125</v>
      </c>
      <c r="G69" s="17" t="s">
        <v>6</v>
      </c>
      <c r="H69" s="20"/>
      <c r="I69" s="20"/>
      <c r="J69" s="20"/>
      <c r="K69" s="11"/>
      <c r="L69" s="14"/>
    </row>
    <row r="70" customFormat="false" ht="15" hidden="false" customHeight="false" outlineLevel="0" collapsed="false">
      <c r="A70" s="7" t="s">
        <v>225</v>
      </c>
      <c r="B70" s="11" t="s">
        <v>207</v>
      </c>
      <c r="C70" s="14" t="s">
        <v>222</v>
      </c>
      <c r="D70" s="11" t="s">
        <v>129</v>
      </c>
      <c r="E70" s="14" t="s">
        <v>223</v>
      </c>
      <c r="F70" s="17" t="s">
        <v>125</v>
      </c>
      <c r="G70" s="17" t="s">
        <v>7</v>
      </c>
      <c r="H70" s="20"/>
      <c r="I70" s="20"/>
      <c r="J70" s="20"/>
      <c r="K70" s="11" t="s">
        <v>226</v>
      </c>
      <c r="L70" s="14"/>
    </row>
    <row r="71" customFormat="false" ht="15" hidden="false" customHeight="false" outlineLevel="0" collapsed="false">
      <c r="A71" s="7" t="s">
        <v>227</v>
      </c>
      <c r="B71" s="11" t="s">
        <v>207</v>
      </c>
      <c r="C71" s="14" t="s">
        <v>222</v>
      </c>
      <c r="D71" s="11" t="s">
        <v>127</v>
      </c>
      <c r="E71" s="14" t="s">
        <v>223</v>
      </c>
      <c r="F71" s="17" t="s">
        <v>125</v>
      </c>
      <c r="G71" s="17" t="s">
        <v>6</v>
      </c>
      <c r="H71" s="20"/>
      <c r="I71" s="20"/>
      <c r="J71" s="20"/>
      <c r="K71" s="11"/>
      <c r="L71" s="14"/>
    </row>
    <row r="72" customFormat="false" ht="15" hidden="false" customHeight="false" outlineLevel="0" collapsed="false">
      <c r="A72" s="7" t="s">
        <v>228</v>
      </c>
      <c r="B72" s="11" t="s">
        <v>207</v>
      </c>
      <c r="C72" s="14" t="s">
        <v>229</v>
      </c>
      <c r="D72" s="11" t="s">
        <v>123</v>
      </c>
      <c r="E72" s="14" t="s">
        <v>230</v>
      </c>
      <c r="F72" s="17" t="s">
        <v>125</v>
      </c>
      <c r="G72" s="17" t="s">
        <v>6</v>
      </c>
      <c r="H72" s="20"/>
      <c r="I72" s="20"/>
      <c r="J72" s="20"/>
      <c r="K72" s="11"/>
      <c r="L72" s="14"/>
    </row>
    <row r="73" customFormat="false" ht="15" hidden="false" customHeight="false" outlineLevel="0" collapsed="false">
      <c r="A73" s="7" t="s">
        <v>231</v>
      </c>
      <c r="B73" s="11" t="s">
        <v>207</v>
      </c>
      <c r="C73" s="14" t="s">
        <v>229</v>
      </c>
      <c r="D73" s="11" t="s">
        <v>127</v>
      </c>
      <c r="E73" s="14" t="s">
        <v>230</v>
      </c>
      <c r="F73" s="17" t="s">
        <v>125</v>
      </c>
      <c r="G73" s="17" t="s">
        <v>6</v>
      </c>
      <c r="H73" s="20"/>
      <c r="I73" s="20"/>
      <c r="J73" s="20"/>
      <c r="K73" s="11"/>
      <c r="L73" s="14"/>
    </row>
    <row r="74" customFormat="false" ht="15" hidden="false" customHeight="false" outlineLevel="0" collapsed="false">
      <c r="A74" s="7" t="s">
        <v>232</v>
      </c>
      <c r="B74" s="11" t="s">
        <v>207</v>
      </c>
      <c r="C74" s="14" t="s">
        <v>229</v>
      </c>
      <c r="D74" s="11" t="s">
        <v>123</v>
      </c>
      <c r="E74" s="14" t="s">
        <v>233</v>
      </c>
      <c r="F74" s="17" t="s">
        <v>125</v>
      </c>
      <c r="G74" s="17" t="s">
        <v>6</v>
      </c>
      <c r="H74" s="20"/>
      <c r="I74" s="20"/>
      <c r="J74" s="20"/>
      <c r="K74" s="11"/>
      <c r="L74" s="14"/>
    </row>
    <row r="75" customFormat="false" ht="15" hidden="false" customHeight="false" outlineLevel="0" collapsed="false">
      <c r="A75" s="7" t="s">
        <v>234</v>
      </c>
      <c r="B75" s="11" t="s">
        <v>207</v>
      </c>
      <c r="C75" s="14" t="s">
        <v>229</v>
      </c>
      <c r="D75" s="11" t="s">
        <v>127</v>
      </c>
      <c r="E75" s="14" t="s">
        <v>233</v>
      </c>
      <c r="F75" s="17" t="s">
        <v>125</v>
      </c>
      <c r="G75" s="17" t="s">
        <v>6</v>
      </c>
      <c r="H75" s="20"/>
      <c r="I75" s="20"/>
      <c r="J75" s="20"/>
      <c r="K75" s="11"/>
      <c r="L75" s="14"/>
    </row>
    <row r="76" customFormat="false" ht="15" hidden="false" customHeight="false" outlineLevel="0" collapsed="false">
      <c r="A76" s="7" t="s">
        <v>235</v>
      </c>
      <c r="B76" s="11" t="s">
        <v>207</v>
      </c>
      <c r="C76" s="14" t="s">
        <v>236</v>
      </c>
      <c r="D76" s="11" t="s">
        <v>123</v>
      </c>
      <c r="E76" s="14" t="s">
        <v>237</v>
      </c>
      <c r="F76" s="17" t="s">
        <v>125</v>
      </c>
      <c r="G76" s="17" t="s">
        <v>6</v>
      </c>
      <c r="H76" s="20"/>
      <c r="I76" s="20"/>
      <c r="J76" s="20"/>
      <c r="K76" s="11"/>
      <c r="L76" s="14"/>
    </row>
    <row r="77" customFormat="false" ht="15" hidden="false" customHeight="false" outlineLevel="0" collapsed="false">
      <c r="A77" s="7" t="s">
        <v>238</v>
      </c>
      <c r="B77" s="11" t="s">
        <v>207</v>
      </c>
      <c r="C77" s="14" t="s">
        <v>236</v>
      </c>
      <c r="D77" s="11" t="s">
        <v>123</v>
      </c>
      <c r="E77" s="14" t="s">
        <v>237</v>
      </c>
      <c r="F77" s="17" t="s">
        <v>125</v>
      </c>
      <c r="G77" s="17" t="s">
        <v>6</v>
      </c>
      <c r="H77" s="20"/>
      <c r="I77" s="20"/>
      <c r="J77" s="20"/>
      <c r="K77" s="11"/>
      <c r="L77" s="14"/>
    </row>
    <row r="78" customFormat="false" ht="15" hidden="false" customHeight="false" outlineLevel="0" collapsed="false">
      <c r="A78" s="7" t="s">
        <v>239</v>
      </c>
      <c r="B78" s="11" t="s">
        <v>207</v>
      </c>
      <c r="C78" s="14" t="s">
        <v>236</v>
      </c>
      <c r="D78" s="11" t="s">
        <v>123</v>
      </c>
      <c r="E78" s="14" t="s">
        <v>237</v>
      </c>
      <c r="F78" s="17" t="s">
        <v>125</v>
      </c>
      <c r="G78" s="17" t="s">
        <v>6</v>
      </c>
      <c r="H78" s="20"/>
      <c r="I78" s="20"/>
      <c r="J78" s="20"/>
      <c r="K78" s="11"/>
      <c r="L78" s="14"/>
    </row>
    <row r="79" customFormat="false" ht="15" hidden="false" customHeight="false" outlineLevel="0" collapsed="false">
      <c r="A79" s="7" t="s">
        <v>240</v>
      </c>
      <c r="B79" s="11" t="s">
        <v>207</v>
      </c>
      <c r="C79" s="14" t="s">
        <v>236</v>
      </c>
      <c r="D79" s="11" t="s">
        <v>123</v>
      </c>
      <c r="E79" s="14" t="s">
        <v>237</v>
      </c>
      <c r="F79" s="17" t="s">
        <v>125</v>
      </c>
      <c r="G79" s="17" t="s">
        <v>6</v>
      </c>
      <c r="H79" s="20"/>
      <c r="I79" s="20"/>
      <c r="J79" s="20"/>
      <c r="K79" s="11"/>
      <c r="L79" s="14"/>
    </row>
    <row r="80" customFormat="false" ht="15" hidden="false" customHeight="false" outlineLevel="0" collapsed="false">
      <c r="A80" s="7" t="s">
        <v>241</v>
      </c>
      <c r="B80" s="11" t="s">
        <v>207</v>
      </c>
      <c r="C80" s="14" t="s">
        <v>236</v>
      </c>
      <c r="D80" s="11" t="s">
        <v>127</v>
      </c>
      <c r="E80" s="14" t="s">
        <v>237</v>
      </c>
      <c r="F80" s="17" t="s">
        <v>125</v>
      </c>
      <c r="G80" s="17" t="s">
        <v>6</v>
      </c>
      <c r="H80" s="20"/>
      <c r="I80" s="20"/>
      <c r="J80" s="20"/>
      <c r="K80" s="11"/>
      <c r="L80" s="14"/>
    </row>
    <row r="81" customFormat="false" ht="15" hidden="false" customHeight="false" outlineLevel="0" collapsed="false">
      <c r="A81" s="7" t="s">
        <v>242</v>
      </c>
      <c r="B81" s="11" t="s">
        <v>243</v>
      </c>
      <c r="C81" s="14" t="s">
        <v>244</v>
      </c>
      <c r="D81" s="11" t="s">
        <v>123</v>
      </c>
      <c r="E81" s="14" t="s">
        <v>245</v>
      </c>
      <c r="F81" s="17" t="s">
        <v>6</v>
      </c>
      <c r="G81" s="17" t="s">
        <v>6</v>
      </c>
      <c r="H81" s="20"/>
      <c r="I81" s="20"/>
      <c r="J81" s="20"/>
      <c r="K81" s="11"/>
      <c r="L81" s="14"/>
    </row>
    <row r="82" customFormat="false" ht="15" hidden="false" customHeight="false" outlineLevel="0" collapsed="false">
      <c r="A82" s="7" t="s">
        <v>246</v>
      </c>
      <c r="B82" s="11" t="s">
        <v>243</v>
      </c>
      <c r="C82" s="14" t="s">
        <v>244</v>
      </c>
      <c r="D82" s="11" t="s">
        <v>123</v>
      </c>
      <c r="E82" s="14" t="s">
        <v>245</v>
      </c>
      <c r="F82" s="17" t="s">
        <v>6</v>
      </c>
      <c r="G82" s="17" t="s">
        <v>6</v>
      </c>
      <c r="H82" s="20"/>
      <c r="I82" s="20"/>
      <c r="J82" s="20"/>
      <c r="K82" s="11"/>
      <c r="L82" s="14"/>
    </row>
    <row r="83" customFormat="false" ht="15" hidden="false" customHeight="false" outlineLevel="0" collapsed="false">
      <c r="A83" s="7" t="s">
        <v>247</v>
      </c>
      <c r="B83" s="11" t="s">
        <v>243</v>
      </c>
      <c r="C83" s="14" t="s">
        <v>248</v>
      </c>
      <c r="D83" s="11" t="s">
        <v>123</v>
      </c>
      <c r="E83" s="14" t="s">
        <v>249</v>
      </c>
      <c r="F83" s="17" t="s">
        <v>6</v>
      </c>
      <c r="G83" s="17" t="s">
        <v>6</v>
      </c>
      <c r="H83" s="20"/>
      <c r="I83" s="20"/>
      <c r="J83" s="20"/>
      <c r="K83" s="11"/>
      <c r="L83" s="14"/>
    </row>
    <row r="84" customFormat="false" ht="15" hidden="false" customHeight="false" outlineLevel="0" collapsed="false">
      <c r="A84" s="7" t="s">
        <v>250</v>
      </c>
      <c r="B84" s="11" t="s">
        <v>243</v>
      </c>
      <c r="C84" s="14" t="s">
        <v>251</v>
      </c>
      <c r="D84" s="11" t="s">
        <v>127</v>
      </c>
      <c r="E84" s="14" t="s">
        <v>252</v>
      </c>
      <c r="F84" s="17" t="s">
        <v>7</v>
      </c>
      <c r="G84" s="17" t="s">
        <v>7</v>
      </c>
      <c r="H84" s="20"/>
      <c r="I84" s="20"/>
      <c r="J84" s="20"/>
      <c r="K84" s="11" t="s">
        <v>253</v>
      </c>
      <c r="L84" s="14"/>
    </row>
    <row r="85" customFormat="false" ht="15" hidden="false" customHeight="false" outlineLevel="0" collapsed="false">
      <c r="A85" s="7" t="s">
        <v>254</v>
      </c>
      <c r="B85" s="11" t="s">
        <v>243</v>
      </c>
      <c r="C85" s="14" t="s">
        <v>251</v>
      </c>
      <c r="D85" s="11" t="s">
        <v>129</v>
      </c>
      <c r="E85" s="14" t="s">
        <v>252</v>
      </c>
      <c r="F85" s="17" t="s">
        <v>7</v>
      </c>
      <c r="G85" s="17" t="s">
        <v>7</v>
      </c>
      <c r="H85" s="20"/>
      <c r="I85" s="20"/>
      <c r="J85" s="20"/>
      <c r="K85" s="11" t="s">
        <v>253</v>
      </c>
      <c r="L85" s="14"/>
    </row>
    <row r="86" customFormat="false" ht="15" hidden="false" customHeight="false" outlineLevel="0" collapsed="false">
      <c r="A86" s="7" t="s">
        <v>255</v>
      </c>
      <c r="B86" s="11" t="s">
        <v>243</v>
      </c>
      <c r="C86" s="14" t="s">
        <v>256</v>
      </c>
      <c r="D86" s="11" t="s">
        <v>127</v>
      </c>
      <c r="E86" s="14" t="s">
        <v>257</v>
      </c>
      <c r="F86" s="17" t="s">
        <v>7</v>
      </c>
      <c r="G86" s="17" t="s">
        <v>7</v>
      </c>
      <c r="H86" s="20"/>
      <c r="I86" s="20"/>
      <c r="J86" s="20"/>
      <c r="K86" s="11" t="s">
        <v>258</v>
      </c>
      <c r="L86" s="14"/>
    </row>
    <row r="87" customFormat="false" ht="15" hidden="false" customHeight="false" outlineLevel="0" collapsed="false">
      <c r="A87" s="7" t="s">
        <v>259</v>
      </c>
      <c r="B87" s="11" t="s">
        <v>243</v>
      </c>
      <c r="C87" s="14" t="s">
        <v>260</v>
      </c>
      <c r="D87" s="11" t="s">
        <v>123</v>
      </c>
      <c r="E87" s="14" t="s">
        <v>261</v>
      </c>
      <c r="F87" s="17" t="s">
        <v>6</v>
      </c>
      <c r="G87" s="17" t="s">
        <v>6</v>
      </c>
      <c r="H87" s="20"/>
      <c r="I87" s="20"/>
      <c r="J87" s="20"/>
      <c r="K87" s="11"/>
      <c r="L87" s="14"/>
    </row>
    <row r="88" customFormat="false" ht="15" hidden="false" customHeight="false" outlineLevel="0" collapsed="false">
      <c r="A88" s="7" t="s">
        <v>262</v>
      </c>
      <c r="B88" s="11" t="s">
        <v>263</v>
      </c>
      <c r="C88" s="14" t="s">
        <v>264</v>
      </c>
      <c r="D88" s="11" t="s">
        <v>264</v>
      </c>
      <c r="E88" s="14" t="s">
        <v>265</v>
      </c>
      <c r="F88" s="17" t="s">
        <v>6</v>
      </c>
      <c r="G88" s="17" t="s">
        <v>6</v>
      </c>
      <c r="H88" s="20"/>
      <c r="I88" s="20"/>
      <c r="J88" s="20"/>
      <c r="K88" s="11"/>
      <c r="L88" s="14"/>
    </row>
    <row r="89" customFormat="false" ht="15" hidden="false" customHeight="false" outlineLevel="0" collapsed="false">
      <c r="A89" s="7" t="s">
        <v>266</v>
      </c>
      <c r="B89" s="11" t="s">
        <v>263</v>
      </c>
      <c r="C89" s="14" t="s">
        <v>264</v>
      </c>
      <c r="D89" s="11" t="s">
        <v>264</v>
      </c>
      <c r="E89" s="14" t="s">
        <v>133</v>
      </c>
      <c r="F89" s="17" t="s">
        <v>6</v>
      </c>
      <c r="G89" s="17" t="s">
        <v>6</v>
      </c>
      <c r="H89" s="20"/>
      <c r="I89" s="20"/>
      <c r="J89" s="20"/>
      <c r="K89" s="11"/>
      <c r="L89" s="14"/>
    </row>
    <row r="90" customFormat="false" ht="15" hidden="false" customHeight="false" outlineLevel="0" collapsed="false">
      <c r="A90" s="7" t="s">
        <v>267</v>
      </c>
      <c r="B90" s="11" t="s">
        <v>263</v>
      </c>
      <c r="C90" s="14" t="s">
        <v>264</v>
      </c>
      <c r="D90" s="11" t="s">
        <v>264</v>
      </c>
      <c r="E90" s="14" t="s">
        <v>124</v>
      </c>
      <c r="F90" s="17" t="s">
        <v>6</v>
      </c>
      <c r="G90" s="17" t="s">
        <v>6</v>
      </c>
      <c r="H90" s="20"/>
      <c r="I90" s="20"/>
      <c r="J90" s="20"/>
      <c r="K90" s="11"/>
      <c r="L90" s="14"/>
    </row>
    <row r="91" customFormat="false" ht="15" hidden="false" customHeight="false" outlineLevel="0" collapsed="false">
      <c r="A91" s="7" t="s">
        <v>268</v>
      </c>
      <c r="B91" s="11" t="s">
        <v>263</v>
      </c>
      <c r="C91" s="14" t="s">
        <v>264</v>
      </c>
      <c r="D91" s="11" t="s">
        <v>264</v>
      </c>
      <c r="E91" s="14" t="s">
        <v>237</v>
      </c>
      <c r="F91" s="17" t="s">
        <v>6</v>
      </c>
      <c r="G91" s="17" t="s">
        <v>6</v>
      </c>
      <c r="H91" s="20"/>
      <c r="I91" s="20"/>
      <c r="J91" s="20"/>
      <c r="K91" s="11"/>
      <c r="L91" s="14"/>
    </row>
    <row r="92" customFormat="false" ht="15" hidden="false" customHeight="false" outlineLevel="0" collapsed="false">
      <c r="A92" s="7" t="s">
        <v>269</v>
      </c>
      <c r="B92" s="11" t="s">
        <v>263</v>
      </c>
      <c r="C92" s="14" t="s">
        <v>264</v>
      </c>
      <c r="D92" s="11" t="s">
        <v>264</v>
      </c>
      <c r="E92" s="14" t="s">
        <v>140</v>
      </c>
      <c r="F92" s="17" t="s">
        <v>6</v>
      </c>
      <c r="G92" s="17" t="s">
        <v>6</v>
      </c>
      <c r="H92" s="20"/>
      <c r="I92" s="20"/>
      <c r="J92" s="20"/>
      <c r="K92" s="11"/>
      <c r="L92" s="14"/>
    </row>
    <row r="93" customFormat="false" ht="15" hidden="false" customHeight="false" outlineLevel="0" collapsed="false">
      <c r="A93" s="7" t="s">
        <v>270</v>
      </c>
      <c r="B93" s="11" t="s">
        <v>263</v>
      </c>
      <c r="C93" s="14" t="s">
        <v>264</v>
      </c>
      <c r="D93" s="11" t="s">
        <v>264</v>
      </c>
      <c r="E93" s="14" t="s">
        <v>230</v>
      </c>
      <c r="F93" s="17" t="s">
        <v>6</v>
      </c>
      <c r="G93" s="17" t="s">
        <v>6</v>
      </c>
      <c r="H93" s="20"/>
      <c r="I93" s="20"/>
      <c r="J93" s="20"/>
      <c r="K93" s="11"/>
      <c r="L93" s="14"/>
    </row>
    <row r="94" customFormat="false" ht="15" hidden="false" customHeight="false" outlineLevel="0" collapsed="false">
      <c r="A94" s="7" t="s">
        <v>271</v>
      </c>
      <c r="B94" s="11" t="s">
        <v>263</v>
      </c>
      <c r="C94" s="14" t="s">
        <v>264</v>
      </c>
      <c r="D94" s="11" t="s">
        <v>264</v>
      </c>
      <c r="E94" s="14" t="s">
        <v>233</v>
      </c>
      <c r="F94" s="17" t="s">
        <v>6</v>
      </c>
      <c r="G94" s="17" t="s">
        <v>6</v>
      </c>
      <c r="H94" s="20"/>
      <c r="I94" s="20"/>
      <c r="J94" s="20"/>
      <c r="K94" s="11"/>
      <c r="L94" s="14"/>
    </row>
    <row r="95" customFormat="false" ht="15" hidden="false" customHeight="false" outlineLevel="0" collapsed="false">
      <c r="A95" s="7" t="s">
        <v>272</v>
      </c>
      <c r="B95" s="11" t="s">
        <v>263</v>
      </c>
      <c r="C95" s="14" t="s">
        <v>264</v>
      </c>
      <c r="D95" s="11" t="s">
        <v>264</v>
      </c>
      <c r="E95" s="14" t="s">
        <v>157</v>
      </c>
      <c r="F95" s="17" t="s">
        <v>6</v>
      </c>
      <c r="G95" s="17" t="s">
        <v>6</v>
      </c>
      <c r="H95" s="20"/>
      <c r="I95" s="20"/>
      <c r="J95" s="20"/>
      <c r="K95" s="11"/>
      <c r="L95" s="14"/>
    </row>
    <row r="96" customFormat="false" ht="15" hidden="false" customHeight="false" outlineLevel="0" collapsed="false">
      <c r="A96" s="7" t="s">
        <v>273</v>
      </c>
      <c r="B96" s="11" t="s">
        <v>263</v>
      </c>
      <c r="C96" s="14" t="s">
        <v>264</v>
      </c>
      <c r="D96" s="11" t="s">
        <v>264</v>
      </c>
      <c r="E96" s="14" t="s">
        <v>223</v>
      </c>
      <c r="F96" s="17" t="s">
        <v>6</v>
      </c>
      <c r="G96" s="17" t="s">
        <v>6</v>
      </c>
      <c r="H96" s="20"/>
      <c r="I96" s="20"/>
      <c r="J96" s="20"/>
      <c r="K96" s="11"/>
      <c r="L96" s="14"/>
    </row>
    <row r="97" customFormat="false" ht="15" hidden="false" customHeight="false" outlineLevel="0" collapsed="false">
      <c r="A97" s="7" t="s">
        <v>274</v>
      </c>
      <c r="B97" s="11" t="s">
        <v>263</v>
      </c>
      <c r="C97" s="14" t="s">
        <v>264</v>
      </c>
      <c r="D97" s="11" t="s">
        <v>264</v>
      </c>
      <c r="E97" s="14" t="s">
        <v>219</v>
      </c>
      <c r="F97" s="17" t="s">
        <v>6</v>
      </c>
      <c r="G97" s="17" t="s">
        <v>6</v>
      </c>
      <c r="H97" s="20"/>
      <c r="I97" s="20"/>
      <c r="J97" s="20"/>
      <c r="K97" s="11"/>
      <c r="L97" s="14"/>
    </row>
    <row r="98" customFormat="false" ht="15" hidden="false" customHeight="false" outlineLevel="0" collapsed="false">
      <c r="A98" s="7" t="s">
        <v>275</v>
      </c>
      <c r="B98" s="11" t="s">
        <v>263</v>
      </c>
      <c r="C98" s="14" t="s">
        <v>264</v>
      </c>
      <c r="D98" s="11" t="s">
        <v>264</v>
      </c>
      <c r="E98" s="14" t="s">
        <v>214</v>
      </c>
      <c r="F98" s="17" t="s">
        <v>6</v>
      </c>
      <c r="G98" s="17" t="s">
        <v>6</v>
      </c>
      <c r="H98" s="20"/>
      <c r="I98" s="20"/>
      <c r="J98" s="20"/>
      <c r="K98" s="11"/>
      <c r="L98" s="14"/>
    </row>
    <row r="99" customFormat="false" ht="15" hidden="false" customHeight="false" outlineLevel="0" collapsed="false">
      <c r="A99" s="7" t="s">
        <v>276</v>
      </c>
      <c r="B99" s="11" t="s">
        <v>263</v>
      </c>
      <c r="C99" s="14" t="s">
        <v>264</v>
      </c>
      <c r="D99" s="11" t="s">
        <v>264</v>
      </c>
      <c r="E99" s="14" t="s">
        <v>277</v>
      </c>
      <c r="F99" s="17" t="s">
        <v>7</v>
      </c>
      <c r="G99" s="17" t="s">
        <v>7</v>
      </c>
      <c r="H99" s="20"/>
      <c r="I99" s="20"/>
      <c r="J99" s="20"/>
      <c r="K99" s="11" t="s">
        <v>258</v>
      </c>
      <c r="L99" s="14"/>
    </row>
    <row r="100" customFormat="false" ht="15" hidden="false" customHeight="false" outlineLevel="0" collapsed="false">
      <c r="A100" s="7" t="s">
        <v>278</v>
      </c>
      <c r="B100" s="11" t="s">
        <v>263</v>
      </c>
      <c r="C100" s="14" t="s">
        <v>264</v>
      </c>
      <c r="D100" s="11" t="s">
        <v>264</v>
      </c>
      <c r="E100" s="14" t="s">
        <v>279</v>
      </c>
      <c r="F100" s="17" t="s">
        <v>7</v>
      </c>
      <c r="G100" s="17" t="s">
        <v>7</v>
      </c>
      <c r="H100" s="20"/>
      <c r="I100" s="20"/>
      <c r="J100" s="20"/>
      <c r="K100" s="11" t="s">
        <v>258</v>
      </c>
      <c r="L100" s="14"/>
    </row>
    <row r="101" customFormat="false" ht="15" hidden="false" customHeight="false" outlineLevel="0" collapsed="false">
      <c r="A101" s="7" t="s">
        <v>280</v>
      </c>
      <c r="B101" s="11" t="s">
        <v>263</v>
      </c>
      <c r="C101" s="14" t="s">
        <v>264</v>
      </c>
      <c r="D101" s="11" t="s">
        <v>264</v>
      </c>
      <c r="E101" s="14" t="s">
        <v>257</v>
      </c>
      <c r="F101" s="17" t="s">
        <v>7</v>
      </c>
      <c r="G101" s="17" t="s">
        <v>7</v>
      </c>
      <c r="H101" s="20"/>
      <c r="I101" s="20"/>
      <c r="J101" s="20"/>
      <c r="K101" s="11" t="s">
        <v>258</v>
      </c>
      <c r="L101" s="14"/>
    </row>
    <row r="102" customFormat="false" ht="15" hidden="false" customHeight="false" outlineLevel="0" collapsed="false">
      <c r="A102" s="7" t="s">
        <v>281</v>
      </c>
      <c r="B102" s="11" t="s">
        <v>263</v>
      </c>
      <c r="C102" s="14" t="s">
        <v>264</v>
      </c>
      <c r="D102" s="11" t="s">
        <v>264</v>
      </c>
      <c r="E102" s="14" t="s">
        <v>282</v>
      </c>
      <c r="F102" s="17" t="s">
        <v>6</v>
      </c>
      <c r="G102" s="17" t="s">
        <v>6</v>
      </c>
      <c r="H102" s="20"/>
      <c r="I102" s="20"/>
      <c r="J102" s="20"/>
      <c r="K102" s="11"/>
      <c r="L102" s="14"/>
    </row>
    <row r="103" customFormat="false" ht="15" hidden="false" customHeight="false" outlineLevel="0" collapsed="false">
      <c r="A103" s="7" t="s">
        <v>283</v>
      </c>
      <c r="B103" s="11" t="s">
        <v>263</v>
      </c>
      <c r="C103" s="14" t="s">
        <v>264</v>
      </c>
      <c r="D103" s="11" t="s">
        <v>264</v>
      </c>
      <c r="E103" s="14" t="s">
        <v>199</v>
      </c>
      <c r="F103" s="17" t="s">
        <v>6</v>
      </c>
      <c r="G103" s="17" t="s">
        <v>6</v>
      </c>
      <c r="H103" s="20"/>
      <c r="I103" s="20"/>
      <c r="J103" s="20"/>
      <c r="K103" s="11"/>
      <c r="L103" s="14"/>
    </row>
    <row r="104" customFormat="false" ht="15" hidden="false" customHeight="false" outlineLevel="0" collapsed="false">
      <c r="A104" s="7" t="s">
        <v>284</v>
      </c>
      <c r="B104" s="11" t="s">
        <v>263</v>
      </c>
      <c r="C104" s="14" t="s">
        <v>264</v>
      </c>
      <c r="D104" s="11" t="s">
        <v>264</v>
      </c>
      <c r="E104" s="14" t="s">
        <v>285</v>
      </c>
      <c r="F104" s="17" t="s">
        <v>7</v>
      </c>
      <c r="G104" s="17" t="s">
        <v>7</v>
      </c>
      <c r="H104" s="20"/>
      <c r="I104" s="20"/>
      <c r="J104" s="20"/>
      <c r="K104" s="11" t="s">
        <v>253</v>
      </c>
      <c r="L104" s="14"/>
    </row>
    <row r="105" customFormat="false" ht="23.85" hidden="false" customHeight="false" outlineLevel="0" collapsed="false">
      <c r="A105" s="7" t="s">
        <v>286</v>
      </c>
      <c r="B105" s="11" t="s">
        <v>263</v>
      </c>
      <c r="C105" s="14" t="s">
        <v>264</v>
      </c>
      <c r="D105" s="11" t="s">
        <v>264</v>
      </c>
      <c r="E105" s="14" t="s">
        <v>170</v>
      </c>
      <c r="F105" s="17" t="s">
        <v>7</v>
      </c>
      <c r="G105" s="17" t="s">
        <v>6</v>
      </c>
      <c r="H105" s="20"/>
      <c r="I105" s="20"/>
      <c r="J105" s="20"/>
      <c r="K105" s="11" t="s">
        <v>253</v>
      </c>
      <c r="L105" s="14" t="s">
        <v>287</v>
      </c>
    </row>
    <row r="106" customFormat="false" ht="15" hidden="false" customHeight="false" outlineLevel="0" collapsed="false">
      <c r="A106" s="7" t="s">
        <v>288</v>
      </c>
      <c r="B106" s="11" t="s">
        <v>263</v>
      </c>
      <c r="C106" s="14" t="s">
        <v>264</v>
      </c>
      <c r="D106" s="11" t="s">
        <v>264</v>
      </c>
      <c r="E106" s="14" t="s">
        <v>249</v>
      </c>
      <c r="F106" s="17" t="s">
        <v>6</v>
      </c>
      <c r="G106" s="17" t="s">
        <v>6</v>
      </c>
      <c r="H106" s="20"/>
      <c r="I106" s="20"/>
      <c r="J106" s="20"/>
      <c r="K106" s="11"/>
      <c r="L106" s="14"/>
    </row>
    <row r="107" customFormat="false" ht="15" hidden="false" customHeight="false" outlineLevel="0" collapsed="false">
      <c r="A107" s="7" t="s">
        <v>289</v>
      </c>
      <c r="B107" s="11" t="s">
        <v>263</v>
      </c>
      <c r="C107" s="14" t="s">
        <v>264</v>
      </c>
      <c r="D107" s="11" t="s">
        <v>264</v>
      </c>
      <c r="E107" s="14" t="s">
        <v>290</v>
      </c>
      <c r="F107" s="17" t="s">
        <v>6</v>
      </c>
      <c r="G107" s="17" t="s">
        <v>6</v>
      </c>
      <c r="H107" s="20"/>
      <c r="I107" s="20"/>
      <c r="J107" s="20"/>
      <c r="K107" s="11"/>
      <c r="L107" s="14"/>
    </row>
    <row r="108" customFormat="false" ht="15" hidden="false" customHeight="false" outlineLevel="0" collapsed="false">
      <c r="A108" s="7" t="s">
        <v>291</v>
      </c>
      <c r="B108" s="11" t="s">
        <v>263</v>
      </c>
      <c r="C108" s="14" t="s">
        <v>264</v>
      </c>
      <c r="D108" s="11" t="s">
        <v>264</v>
      </c>
      <c r="E108" s="14" t="s">
        <v>252</v>
      </c>
      <c r="F108" s="17" t="s">
        <v>7</v>
      </c>
      <c r="G108" s="17" t="s">
        <v>7</v>
      </c>
      <c r="H108" s="20"/>
      <c r="I108" s="20"/>
      <c r="J108" s="20"/>
      <c r="K108" s="11" t="s">
        <v>253</v>
      </c>
      <c r="L108" s="14"/>
    </row>
    <row r="109" customFormat="false" ht="15" hidden="false" customHeight="false" outlineLevel="0" collapsed="false">
      <c r="A109" s="7" t="s">
        <v>292</v>
      </c>
      <c r="B109" s="11" t="s">
        <v>263</v>
      </c>
      <c r="C109" s="14" t="s">
        <v>264</v>
      </c>
      <c r="D109" s="11" t="s">
        <v>264</v>
      </c>
      <c r="E109" s="14" t="s">
        <v>293</v>
      </c>
      <c r="F109" s="17" t="s">
        <v>6</v>
      </c>
      <c r="G109" s="17" t="s">
        <v>6</v>
      </c>
      <c r="H109" s="20"/>
      <c r="I109" s="20"/>
      <c r="J109" s="20"/>
      <c r="K109" s="11"/>
      <c r="L109" s="14"/>
    </row>
    <row r="110" customFormat="false" ht="15" hidden="false" customHeight="false" outlineLevel="0" collapsed="false">
      <c r="A110" s="7" t="s">
        <v>294</v>
      </c>
      <c r="B110" s="11" t="s">
        <v>263</v>
      </c>
      <c r="C110" s="14" t="s">
        <v>264</v>
      </c>
      <c r="D110" s="11" t="s">
        <v>264</v>
      </c>
      <c r="E110" s="14" t="s">
        <v>245</v>
      </c>
      <c r="F110" s="17" t="s">
        <v>6</v>
      </c>
      <c r="G110" s="17" t="s">
        <v>6</v>
      </c>
      <c r="H110" s="20"/>
      <c r="I110" s="20"/>
      <c r="J110" s="20"/>
      <c r="K110" s="11"/>
      <c r="L110" s="14"/>
    </row>
    <row r="111" customFormat="false" ht="15" hidden="false" customHeight="false" outlineLevel="0" collapsed="false">
      <c r="A111" s="7" t="s">
        <v>295</v>
      </c>
      <c r="B111" s="11" t="s">
        <v>263</v>
      </c>
      <c r="C111" s="14" t="s">
        <v>264</v>
      </c>
      <c r="D111" s="11" t="s">
        <v>264</v>
      </c>
      <c r="E111" s="14" t="s">
        <v>210</v>
      </c>
      <c r="F111" s="17" t="s">
        <v>6</v>
      </c>
      <c r="G111" s="17" t="s">
        <v>6</v>
      </c>
      <c r="H111" s="20"/>
      <c r="I111" s="20"/>
      <c r="J111" s="20"/>
      <c r="K111" s="11"/>
      <c r="L111" s="14"/>
    </row>
    <row r="112" customFormat="false" ht="15" hidden="false" customHeight="false" outlineLevel="0" collapsed="false">
      <c r="A112" s="7" t="s">
        <v>296</v>
      </c>
      <c r="B112" s="11" t="s">
        <v>263</v>
      </c>
      <c r="C112" s="14" t="s">
        <v>264</v>
      </c>
      <c r="D112" s="11" t="s">
        <v>264</v>
      </c>
      <c r="E112" s="14" t="s">
        <v>212</v>
      </c>
      <c r="F112" s="17" t="s">
        <v>6</v>
      </c>
      <c r="G112" s="17" t="s">
        <v>6</v>
      </c>
      <c r="H112" s="20"/>
      <c r="I112" s="20"/>
      <c r="J112" s="20"/>
      <c r="K112" s="11"/>
      <c r="L112" s="14"/>
    </row>
    <row r="113" customFormat="false" ht="15" hidden="false" customHeight="false" outlineLevel="0" collapsed="false">
      <c r="A113" s="7" t="s">
        <v>297</v>
      </c>
      <c r="B113" s="11" t="s">
        <v>263</v>
      </c>
      <c r="C113" s="14" t="s">
        <v>264</v>
      </c>
      <c r="D113" s="11" t="s">
        <v>264</v>
      </c>
      <c r="E113" s="14" t="s">
        <v>298</v>
      </c>
      <c r="F113" s="17" t="s">
        <v>7</v>
      </c>
      <c r="G113" s="17" t="s">
        <v>7</v>
      </c>
      <c r="H113" s="20"/>
      <c r="I113" s="20"/>
      <c r="J113" s="20"/>
      <c r="K113" s="11" t="s">
        <v>299</v>
      </c>
      <c r="L113" s="14"/>
    </row>
    <row r="114" customFormat="false" ht="15" hidden="false" customHeight="false" outlineLevel="0" collapsed="false">
      <c r="A114" s="7" t="s">
        <v>300</v>
      </c>
      <c r="B114" s="11" t="s">
        <v>263</v>
      </c>
      <c r="C114" s="14" t="s">
        <v>264</v>
      </c>
      <c r="D114" s="11" t="s">
        <v>264</v>
      </c>
      <c r="E114" s="14" t="s">
        <v>261</v>
      </c>
      <c r="F114" s="17" t="s">
        <v>6</v>
      </c>
      <c r="G114" s="17" t="s">
        <v>6</v>
      </c>
      <c r="H114" s="20"/>
      <c r="I114" s="20"/>
      <c r="J114" s="20"/>
      <c r="K114" s="11"/>
      <c r="L114" s="14"/>
    </row>
  </sheetData>
  <autoFilter ref="A4:L114"/>
  <conditionalFormatting sqref="F5:J114">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"Bloqueado"</formula>
    </cfRule>
    <cfRule type="cellIs" priority="5" operator="equal" aboveAverage="0" equalAverage="0" bottom="0" percent="0" rank="0" text="" dxfId="10">
      <formula>"N/A"</formula>
    </cfRule>
  </conditionalFormatting>
  <dataValidations count="1">
    <dataValidation allowBlank="true" errorStyle="stop" operator="between" showDropDown="false" showErrorMessage="false" showInputMessage="false" sqref="F5:J114" type="list">
      <formula1>"Pass,Fail,Bloqueado,No ejecutado,N/A"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34"/>
    <col collapsed="false" customWidth="true" hidden="false" outlineLevel="0" max="4" min="4" style="0" width="11"/>
    <col collapsed="false" customWidth="true" hidden="false" outlineLevel="0" max="5" min="5" style="0" width="22"/>
    <col collapsed="false" customWidth="true" hidden="false" outlineLevel="0" max="7" min="6" style="0" width="11"/>
    <col collapsed="false" customWidth="true" hidden="false" outlineLevel="0" max="8" min="8" style="0" width="13"/>
    <col collapsed="false" customWidth="true" hidden="false" outlineLevel="0" max="9" min="9" style="0" width="16"/>
    <col collapsed="false" customWidth="true" hidden="false" outlineLevel="0" max="10" min="10" style="0" width="22"/>
    <col collapsed="false" customWidth="true" hidden="false" outlineLevel="0" max="11" min="11" style="0" width="10"/>
    <col collapsed="false" customWidth="true" hidden="false" outlineLevel="0" max="13" min="12" style="0" width="11"/>
    <col collapsed="false" customWidth="true" hidden="false" outlineLevel="0" max="14" min="14" style="0" width="13"/>
    <col collapsed="false" customWidth="true" hidden="false" outlineLevel="0" max="15" min="15" style="0" width="22"/>
    <col collapsed="false" customWidth="true" hidden="false" outlineLevel="0" max="16" min="16" style="0" width="10"/>
    <col collapsed="false" customWidth="true" hidden="false" outlineLevel="0" max="17" min="17" style="0" width="12"/>
    <col collapsed="false" customWidth="true" hidden="false" outlineLevel="0" max="18" min="18" style="0" width="60"/>
  </cols>
  <sheetData>
    <row r="1" customFormat="false" ht="17.35" hidden="false" customHeight="false" outlineLevel="0" collapsed="false">
      <c r="A1" s="1" t="s">
        <v>301</v>
      </c>
    </row>
    <row r="2" customFormat="false" ht="15" hidden="false" customHeight="false" outlineLevel="0" collapsed="false">
      <c r="A2" s="12" t="s">
        <v>302</v>
      </c>
    </row>
    <row r="4" customFormat="false" ht="35.05" hidden="false" customHeight="false" outlineLevel="0" collapsed="false">
      <c r="A4" s="13" t="s">
        <v>109</v>
      </c>
      <c r="B4" s="13" t="s">
        <v>303</v>
      </c>
      <c r="C4" s="13" t="s">
        <v>304</v>
      </c>
      <c r="D4" s="13" t="s">
        <v>305</v>
      </c>
      <c r="E4" s="13" t="s">
        <v>306</v>
      </c>
      <c r="F4" s="13" t="s">
        <v>307</v>
      </c>
      <c r="G4" s="13" t="s">
        <v>308</v>
      </c>
      <c r="H4" s="13" t="s">
        <v>309</v>
      </c>
      <c r="I4" s="13" t="s">
        <v>310</v>
      </c>
      <c r="J4" s="13" t="s">
        <v>311</v>
      </c>
      <c r="K4" s="13" t="s">
        <v>312</v>
      </c>
      <c r="L4" s="13" t="s">
        <v>313</v>
      </c>
      <c r="M4" s="13" t="s">
        <v>314</v>
      </c>
      <c r="N4" s="13" t="s">
        <v>315</v>
      </c>
      <c r="O4" s="13" t="s">
        <v>316</v>
      </c>
      <c r="P4" s="13" t="s">
        <v>317</v>
      </c>
      <c r="Q4" s="13" t="s">
        <v>318</v>
      </c>
      <c r="R4" s="13" t="s">
        <v>319</v>
      </c>
    </row>
    <row r="5" customFormat="false" ht="46.25" hidden="false" customHeight="false" outlineLevel="0" collapsed="false">
      <c r="A5" s="7" t="s">
        <v>320</v>
      </c>
      <c r="B5" s="11" t="s">
        <v>321</v>
      </c>
      <c r="C5" s="14" t="s">
        <v>322</v>
      </c>
      <c r="D5" s="11" t="s">
        <v>323</v>
      </c>
      <c r="E5" s="14" t="s">
        <v>324</v>
      </c>
      <c r="F5" s="17" t="s">
        <v>7</v>
      </c>
      <c r="G5" s="22" t="n">
        <v>46307</v>
      </c>
      <c r="H5" s="14" t="s">
        <v>325</v>
      </c>
      <c r="I5" s="14" t="s">
        <v>326</v>
      </c>
      <c r="J5" s="14" t="s">
        <v>327</v>
      </c>
      <c r="K5" s="11" t="s">
        <v>328</v>
      </c>
      <c r="L5" s="20"/>
      <c r="M5" s="23"/>
      <c r="N5" s="18"/>
      <c r="O5" s="18"/>
      <c r="P5" s="20"/>
      <c r="Q5" s="17" t="str">
        <f aca="false">IF(L5&lt;&gt;"",L5,IF(F5&lt;&gt;"",F5,"No ejecutado"))</f>
        <v>Fail</v>
      </c>
      <c r="R5" s="14" t="s">
        <v>329</v>
      </c>
    </row>
    <row r="6" customFormat="false" ht="46.25" hidden="false" customHeight="false" outlineLevel="0" collapsed="false">
      <c r="A6" s="7" t="s">
        <v>330</v>
      </c>
      <c r="B6" s="11" t="s">
        <v>321</v>
      </c>
      <c r="C6" s="14" t="s">
        <v>331</v>
      </c>
      <c r="D6" s="11" t="s">
        <v>323</v>
      </c>
      <c r="E6" s="14" t="s">
        <v>332</v>
      </c>
      <c r="F6" s="17" t="s">
        <v>7</v>
      </c>
      <c r="G6" s="22" t="n">
        <v>46307</v>
      </c>
      <c r="H6" s="14" t="s">
        <v>325</v>
      </c>
      <c r="I6" s="14" t="s">
        <v>326</v>
      </c>
      <c r="J6" s="14" t="s">
        <v>333</v>
      </c>
      <c r="K6" s="11" t="s">
        <v>334</v>
      </c>
      <c r="L6" s="20"/>
      <c r="M6" s="23"/>
      <c r="N6" s="18"/>
      <c r="O6" s="18"/>
      <c r="P6" s="20"/>
      <c r="Q6" s="17" t="str">
        <f aca="false">IF(L6&lt;&gt;"",L6,IF(F6&lt;&gt;"",F6,"No ejecutado"))</f>
        <v>Fail</v>
      </c>
      <c r="R6" s="14" t="s">
        <v>335</v>
      </c>
    </row>
    <row r="7" customFormat="false" ht="35.05" hidden="false" customHeight="false" outlineLevel="0" collapsed="false">
      <c r="A7" s="7" t="s">
        <v>336</v>
      </c>
      <c r="B7" s="11" t="s">
        <v>321</v>
      </c>
      <c r="C7" s="14" t="s">
        <v>337</v>
      </c>
      <c r="D7" s="11" t="s">
        <v>323</v>
      </c>
      <c r="E7" s="14" t="s">
        <v>338</v>
      </c>
      <c r="F7" s="17" t="s">
        <v>6</v>
      </c>
      <c r="G7" s="22" t="n">
        <v>46307</v>
      </c>
      <c r="H7" s="14" t="s">
        <v>325</v>
      </c>
      <c r="I7" s="14" t="s">
        <v>326</v>
      </c>
      <c r="J7" s="14" t="s">
        <v>339</v>
      </c>
      <c r="K7" s="11"/>
      <c r="L7" s="20"/>
      <c r="M7" s="23"/>
      <c r="N7" s="18"/>
      <c r="O7" s="18"/>
      <c r="P7" s="20"/>
      <c r="Q7" s="17" t="str">
        <f aca="false">IF(L7&lt;&gt;"",L7,IF(F7&lt;&gt;"",F7,"No ejecutado"))</f>
        <v>Pass</v>
      </c>
      <c r="R7" s="14" t="s">
        <v>340</v>
      </c>
    </row>
    <row r="8" customFormat="false" ht="35.05" hidden="false" customHeight="false" outlineLevel="0" collapsed="false">
      <c r="A8" s="7" t="s">
        <v>341</v>
      </c>
      <c r="B8" s="11" t="s">
        <v>321</v>
      </c>
      <c r="C8" s="14" t="s">
        <v>342</v>
      </c>
      <c r="D8" s="11" t="s">
        <v>343</v>
      </c>
      <c r="E8" s="14" t="s">
        <v>338</v>
      </c>
      <c r="F8" s="17" t="s">
        <v>6</v>
      </c>
      <c r="G8" s="22" t="n">
        <v>46307</v>
      </c>
      <c r="H8" s="14" t="s">
        <v>325</v>
      </c>
      <c r="I8" s="14" t="s">
        <v>326</v>
      </c>
      <c r="J8" s="14" t="s">
        <v>344</v>
      </c>
      <c r="K8" s="11"/>
      <c r="L8" s="20"/>
      <c r="M8" s="23"/>
      <c r="N8" s="18"/>
      <c r="O8" s="18"/>
      <c r="P8" s="20"/>
      <c r="Q8" s="17" t="str">
        <f aca="false">IF(L8&lt;&gt;"",L8,IF(F8&lt;&gt;"",F8,"No ejecutado"))</f>
        <v>Pass</v>
      </c>
      <c r="R8" s="14" t="s">
        <v>345</v>
      </c>
    </row>
    <row r="9" customFormat="false" ht="23.85" hidden="false" customHeight="false" outlineLevel="0" collapsed="false">
      <c r="A9" s="7" t="s">
        <v>346</v>
      </c>
      <c r="B9" s="11" t="s">
        <v>321</v>
      </c>
      <c r="C9" s="14" t="s">
        <v>347</v>
      </c>
      <c r="D9" s="11" t="s">
        <v>343</v>
      </c>
      <c r="E9" s="14" t="s">
        <v>348</v>
      </c>
      <c r="F9" s="17"/>
      <c r="G9" s="22"/>
      <c r="H9" s="14"/>
      <c r="I9" s="14"/>
      <c r="J9" s="14"/>
      <c r="K9" s="11"/>
      <c r="L9" s="20"/>
      <c r="M9" s="23"/>
      <c r="N9" s="18"/>
      <c r="O9" s="18"/>
      <c r="P9" s="20"/>
      <c r="Q9" s="17" t="str">
        <f aca="false">IF(L9&lt;&gt;"",L9,IF(F9&lt;&gt;"",F9,"No ejecutado"))</f>
        <v>No ejecutado</v>
      </c>
      <c r="R9" s="14" t="s">
        <v>349</v>
      </c>
    </row>
    <row r="10" customFormat="false" ht="35.05" hidden="false" customHeight="false" outlineLevel="0" collapsed="false">
      <c r="A10" s="7" t="s">
        <v>350</v>
      </c>
      <c r="B10" s="11" t="s">
        <v>321</v>
      </c>
      <c r="C10" s="14" t="s">
        <v>351</v>
      </c>
      <c r="D10" s="11" t="s">
        <v>343</v>
      </c>
      <c r="E10" s="14" t="s">
        <v>352</v>
      </c>
      <c r="F10" s="17" t="s">
        <v>6</v>
      </c>
      <c r="G10" s="22" t="n">
        <v>46307</v>
      </c>
      <c r="H10" s="14" t="s">
        <v>325</v>
      </c>
      <c r="I10" s="14" t="s">
        <v>326</v>
      </c>
      <c r="J10" s="14" t="s">
        <v>353</v>
      </c>
      <c r="K10" s="11"/>
      <c r="L10" s="20"/>
      <c r="M10" s="23"/>
      <c r="N10" s="18"/>
      <c r="O10" s="18"/>
      <c r="P10" s="20"/>
      <c r="Q10" s="17" t="str">
        <f aca="false">IF(L10&lt;&gt;"",L10,IF(F10&lt;&gt;"",F10,"No ejecutado"))</f>
        <v>Pass</v>
      </c>
      <c r="R10" s="14" t="s">
        <v>354</v>
      </c>
    </row>
    <row r="11" customFormat="false" ht="35.05" hidden="false" customHeight="false" outlineLevel="0" collapsed="false">
      <c r="A11" s="7" t="s">
        <v>355</v>
      </c>
      <c r="B11" s="11" t="s">
        <v>321</v>
      </c>
      <c r="C11" s="14" t="s">
        <v>356</v>
      </c>
      <c r="D11" s="11" t="s">
        <v>343</v>
      </c>
      <c r="E11" s="14" t="s">
        <v>357</v>
      </c>
      <c r="F11" s="17" t="s">
        <v>7</v>
      </c>
      <c r="G11" s="22" t="n">
        <v>46307</v>
      </c>
      <c r="H11" s="14" t="s">
        <v>325</v>
      </c>
      <c r="I11" s="14" t="s">
        <v>326</v>
      </c>
      <c r="J11" s="14" t="s">
        <v>358</v>
      </c>
      <c r="K11" s="11" t="s">
        <v>359</v>
      </c>
      <c r="L11" s="20"/>
      <c r="M11" s="23"/>
      <c r="N11" s="18"/>
      <c r="O11" s="18"/>
      <c r="P11" s="20"/>
      <c r="Q11" s="17" t="str">
        <f aca="false">IF(L11&lt;&gt;"",L11,IF(F11&lt;&gt;"",F11,"No ejecutado"))</f>
        <v>Fail</v>
      </c>
      <c r="R11" s="14" t="s">
        <v>360</v>
      </c>
    </row>
    <row r="12" customFormat="false" ht="57.45" hidden="false" customHeight="false" outlineLevel="0" collapsed="false">
      <c r="A12" s="7" t="s">
        <v>361</v>
      </c>
      <c r="B12" s="11" t="s">
        <v>362</v>
      </c>
      <c r="C12" s="14" t="s">
        <v>363</v>
      </c>
      <c r="D12" s="11" t="s">
        <v>323</v>
      </c>
      <c r="E12" s="14" t="s">
        <v>364</v>
      </c>
      <c r="F12" s="17" t="s">
        <v>7</v>
      </c>
      <c r="G12" s="22" t="n">
        <v>46307</v>
      </c>
      <c r="H12" s="14" t="s">
        <v>325</v>
      </c>
      <c r="I12" s="14" t="s">
        <v>326</v>
      </c>
      <c r="J12" s="14" t="s">
        <v>365</v>
      </c>
      <c r="K12" s="11" t="s">
        <v>366</v>
      </c>
      <c r="L12" s="20"/>
      <c r="M12" s="23"/>
      <c r="N12" s="18"/>
      <c r="O12" s="18"/>
      <c r="P12" s="20"/>
      <c r="Q12" s="17" t="str">
        <f aca="false">IF(L12&lt;&gt;"",L12,IF(F12&lt;&gt;"",F12,"No ejecutado"))</f>
        <v>Fail</v>
      </c>
      <c r="R12" s="14" t="s">
        <v>367</v>
      </c>
    </row>
    <row r="13" customFormat="false" ht="35.05" hidden="false" customHeight="false" outlineLevel="0" collapsed="false">
      <c r="A13" s="7" t="s">
        <v>368</v>
      </c>
      <c r="B13" s="11" t="s">
        <v>362</v>
      </c>
      <c r="C13" s="14" t="s">
        <v>369</v>
      </c>
      <c r="D13" s="11" t="s">
        <v>323</v>
      </c>
      <c r="E13" s="14" t="s">
        <v>370</v>
      </c>
      <c r="F13" s="17" t="s">
        <v>7</v>
      </c>
      <c r="G13" s="22" t="n">
        <v>46307</v>
      </c>
      <c r="H13" s="14" t="s">
        <v>325</v>
      </c>
      <c r="I13" s="14" t="s">
        <v>326</v>
      </c>
      <c r="J13" s="14" t="s">
        <v>371</v>
      </c>
      <c r="K13" s="11" t="s">
        <v>372</v>
      </c>
      <c r="L13" s="20"/>
      <c r="M13" s="23"/>
      <c r="N13" s="18"/>
      <c r="O13" s="18"/>
      <c r="P13" s="20"/>
      <c r="Q13" s="17" t="str">
        <f aca="false">IF(L13&lt;&gt;"",L13,IF(F13&lt;&gt;"",F13,"No ejecutado"))</f>
        <v>Fail</v>
      </c>
      <c r="R13" s="14" t="s">
        <v>373</v>
      </c>
    </row>
    <row r="14" customFormat="false" ht="35.05" hidden="false" customHeight="false" outlineLevel="0" collapsed="false">
      <c r="A14" s="7" t="s">
        <v>374</v>
      </c>
      <c r="B14" s="11" t="s">
        <v>362</v>
      </c>
      <c r="C14" s="14" t="s">
        <v>375</v>
      </c>
      <c r="D14" s="11" t="s">
        <v>343</v>
      </c>
      <c r="E14" s="14" t="s">
        <v>376</v>
      </c>
      <c r="F14" s="17" t="s">
        <v>7</v>
      </c>
      <c r="G14" s="22" t="n">
        <v>46307</v>
      </c>
      <c r="H14" s="14" t="s">
        <v>325</v>
      </c>
      <c r="I14" s="14" t="s">
        <v>326</v>
      </c>
      <c r="J14" s="14" t="s">
        <v>377</v>
      </c>
      <c r="K14" s="11" t="s">
        <v>378</v>
      </c>
      <c r="L14" s="20"/>
      <c r="M14" s="23"/>
      <c r="N14" s="18"/>
      <c r="O14" s="18"/>
      <c r="P14" s="20"/>
      <c r="Q14" s="17" t="str">
        <f aca="false">IF(L14&lt;&gt;"",L14,IF(F14&lt;&gt;"",F14,"No ejecutado"))</f>
        <v>Fail</v>
      </c>
      <c r="R14" s="14" t="s">
        <v>379</v>
      </c>
    </row>
    <row r="15" customFormat="false" ht="35.05" hidden="false" customHeight="false" outlineLevel="0" collapsed="false">
      <c r="A15" s="7" t="s">
        <v>380</v>
      </c>
      <c r="B15" s="11" t="s">
        <v>381</v>
      </c>
      <c r="C15" s="14" t="s">
        <v>382</v>
      </c>
      <c r="D15" s="11" t="s">
        <v>323</v>
      </c>
      <c r="E15" s="14" t="s">
        <v>383</v>
      </c>
      <c r="F15" s="17" t="s">
        <v>6</v>
      </c>
      <c r="G15" s="22" t="n">
        <v>46307</v>
      </c>
      <c r="H15" s="14" t="s">
        <v>325</v>
      </c>
      <c r="I15" s="14" t="s">
        <v>326</v>
      </c>
      <c r="J15" s="14" t="s">
        <v>384</v>
      </c>
      <c r="K15" s="11"/>
      <c r="L15" s="20"/>
      <c r="M15" s="23"/>
      <c r="N15" s="18"/>
      <c r="O15" s="18"/>
      <c r="P15" s="20"/>
      <c r="Q15" s="17" t="str">
        <f aca="false">IF(L15&lt;&gt;"",L15,IF(F15&lt;&gt;"",F15,"No ejecutado"))</f>
        <v>Pass</v>
      </c>
      <c r="R15" s="14" t="s">
        <v>385</v>
      </c>
    </row>
    <row r="16" customFormat="false" ht="35.05" hidden="false" customHeight="false" outlineLevel="0" collapsed="false">
      <c r="A16" s="7" t="s">
        <v>386</v>
      </c>
      <c r="B16" s="11" t="s">
        <v>381</v>
      </c>
      <c r="C16" s="14" t="s">
        <v>387</v>
      </c>
      <c r="D16" s="11" t="s">
        <v>343</v>
      </c>
      <c r="E16" s="14" t="s">
        <v>338</v>
      </c>
      <c r="F16" s="17" t="s">
        <v>6</v>
      </c>
      <c r="G16" s="22" t="n">
        <v>46307</v>
      </c>
      <c r="H16" s="14" t="s">
        <v>325</v>
      </c>
      <c r="I16" s="14" t="s">
        <v>326</v>
      </c>
      <c r="J16" s="14" t="s">
        <v>388</v>
      </c>
      <c r="K16" s="11"/>
      <c r="L16" s="20"/>
      <c r="M16" s="23"/>
      <c r="N16" s="18"/>
      <c r="O16" s="18"/>
      <c r="P16" s="20"/>
      <c r="Q16" s="17" t="str">
        <f aca="false">IF(L16&lt;&gt;"",L16,IF(F16&lt;&gt;"",F16,"No ejecutado"))</f>
        <v>Pass</v>
      </c>
      <c r="R16" s="14" t="s">
        <v>389</v>
      </c>
    </row>
    <row r="17" customFormat="false" ht="35.05" hidden="false" customHeight="false" outlineLevel="0" collapsed="false">
      <c r="A17" s="7" t="s">
        <v>390</v>
      </c>
      <c r="B17" s="11" t="s">
        <v>381</v>
      </c>
      <c r="C17" s="14" t="s">
        <v>391</v>
      </c>
      <c r="D17" s="11" t="s">
        <v>323</v>
      </c>
      <c r="E17" s="14" t="s">
        <v>392</v>
      </c>
      <c r="F17" s="17" t="s">
        <v>6</v>
      </c>
      <c r="G17" s="22" t="n">
        <v>46307</v>
      </c>
      <c r="H17" s="14" t="s">
        <v>325</v>
      </c>
      <c r="I17" s="14" t="s">
        <v>326</v>
      </c>
      <c r="J17" s="14" t="s">
        <v>393</v>
      </c>
      <c r="K17" s="11"/>
      <c r="L17" s="20"/>
      <c r="M17" s="23"/>
      <c r="N17" s="18"/>
      <c r="O17" s="18"/>
      <c r="P17" s="20"/>
      <c r="Q17" s="17" t="str">
        <f aca="false">IF(L17&lt;&gt;"",L17,IF(F17&lt;&gt;"",F17,"No ejecutado"))</f>
        <v>Pass</v>
      </c>
      <c r="R17" s="14" t="s">
        <v>394</v>
      </c>
    </row>
    <row r="18" customFormat="false" ht="35.05" hidden="false" customHeight="false" outlineLevel="0" collapsed="false">
      <c r="A18" s="7" t="s">
        <v>395</v>
      </c>
      <c r="B18" s="11" t="s">
        <v>381</v>
      </c>
      <c r="C18" s="14" t="s">
        <v>396</v>
      </c>
      <c r="D18" s="11" t="s">
        <v>323</v>
      </c>
      <c r="E18" s="14" t="s">
        <v>397</v>
      </c>
      <c r="F18" s="17" t="s">
        <v>7</v>
      </c>
      <c r="G18" s="22" t="n">
        <v>46307</v>
      </c>
      <c r="H18" s="14" t="s">
        <v>325</v>
      </c>
      <c r="I18" s="14" t="s">
        <v>326</v>
      </c>
      <c r="J18" s="14" t="s">
        <v>398</v>
      </c>
      <c r="K18" s="11" t="s">
        <v>399</v>
      </c>
      <c r="L18" s="20"/>
      <c r="M18" s="23"/>
      <c r="N18" s="18"/>
      <c r="O18" s="18"/>
      <c r="P18" s="20"/>
      <c r="Q18" s="17" t="str">
        <f aca="false">IF(L18&lt;&gt;"",L18,IF(F18&lt;&gt;"",F18,"No ejecutado"))</f>
        <v>Fail</v>
      </c>
      <c r="R18" s="14" t="s">
        <v>400</v>
      </c>
    </row>
    <row r="19" customFormat="false" ht="35.05" hidden="false" customHeight="false" outlineLevel="0" collapsed="false">
      <c r="A19" s="7" t="s">
        <v>401</v>
      </c>
      <c r="B19" s="11" t="s">
        <v>381</v>
      </c>
      <c r="C19" s="14" t="s">
        <v>402</v>
      </c>
      <c r="D19" s="11" t="s">
        <v>323</v>
      </c>
      <c r="E19" s="14" t="s">
        <v>403</v>
      </c>
      <c r="F19" s="17" t="s">
        <v>6</v>
      </c>
      <c r="G19" s="22" t="n">
        <v>46307</v>
      </c>
      <c r="H19" s="14" t="s">
        <v>325</v>
      </c>
      <c r="I19" s="14" t="s">
        <v>326</v>
      </c>
      <c r="J19" s="14" t="s">
        <v>404</v>
      </c>
      <c r="K19" s="11"/>
      <c r="L19" s="20"/>
      <c r="M19" s="23"/>
      <c r="N19" s="18"/>
      <c r="O19" s="18"/>
      <c r="P19" s="20"/>
      <c r="Q19" s="17" t="str">
        <f aca="false">IF(L19&lt;&gt;"",L19,IF(F19&lt;&gt;"",F19,"No ejecutado"))</f>
        <v>Pass</v>
      </c>
      <c r="R19" s="14" t="s">
        <v>405</v>
      </c>
    </row>
    <row r="20" customFormat="false" ht="35.05" hidden="false" customHeight="false" outlineLevel="0" collapsed="false">
      <c r="A20" s="7" t="s">
        <v>406</v>
      </c>
      <c r="B20" s="11" t="s">
        <v>381</v>
      </c>
      <c r="C20" s="14" t="s">
        <v>407</v>
      </c>
      <c r="D20" s="11" t="s">
        <v>343</v>
      </c>
      <c r="E20" s="14" t="s">
        <v>408</v>
      </c>
      <c r="F20" s="17" t="s">
        <v>6</v>
      </c>
      <c r="G20" s="22" t="n">
        <v>46307</v>
      </c>
      <c r="H20" s="14" t="s">
        <v>325</v>
      </c>
      <c r="I20" s="14" t="s">
        <v>326</v>
      </c>
      <c r="J20" s="14" t="s">
        <v>409</v>
      </c>
      <c r="K20" s="11"/>
      <c r="L20" s="20"/>
      <c r="M20" s="23"/>
      <c r="N20" s="18"/>
      <c r="O20" s="18"/>
      <c r="P20" s="20"/>
      <c r="Q20" s="17" t="str">
        <f aca="false">IF(L20&lt;&gt;"",L20,IF(F20&lt;&gt;"",F20,"No ejecutado"))</f>
        <v>Pass</v>
      </c>
      <c r="R20" s="14" t="s">
        <v>410</v>
      </c>
    </row>
    <row r="21" customFormat="false" ht="35.05" hidden="false" customHeight="false" outlineLevel="0" collapsed="false">
      <c r="A21" s="7" t="s">
        <v>411</v>
      </c>
      <c r="B21" s="11" t="s">
        <v>412</v>
      </c>
      <c r="C21" s="14" t="s">
        <v>413</v>
      </c>
      <c r="D21" s="11" t="s">
        <v>343</v>
      </c>
      <c r="E21" s="14" t="s">
        <v>414</v>
      </c>
      <c r="F21" s="17" t="s">
        <v>7</v>
      </c>
      <c r="G21" s="22" t="n">
        <v>46307</v>
      </c>
      <c r="H21" s="14" t="s">
        <v>325</v>
      </c>
      <c r="I21" s="14" t="s">
        <v>326</v>
      </c>
      <c r="J21" s="14" t="s">
        <v>415</v>
      </c>
      <c r="K21" s="11" t="s">
        <v>416</v>
      </c>
      <c r="L21" s="20"/>
      <c r="M21" s="23"/>
      <c r="N21" s="18"/>
      <c r="O21" s="18"/>
      <c r="P21" s="20"/>
      <c r="Q21" s="17" t="str">
        <f aca="false">IF(L21&lt;&gt;"",L21,IF(F21&lt;&gt;"",F21,"No ejecutado"))</f>
        <v>Fail</v>
      </c>
      <c r="R21" s="14" t="s">
        <v>417</v>
      </c>
    </row>
    <row r="22" customFormat="false" ht="35.05" hidden="false" customHeight="false" outlineLevel="0" collapsed="false">
      <c r="A22" s="7" t="s">
        <v>418</v>
      </c>
      <c r="B22" s="11" t="s">
        <v>412</v>
      </c>
      <c r="C22" s="14" t="s">
        <v>419</v>
      </c>
      <c r="D22" s="11" t="s">
        <v>343</v>
      </c>
      <c r="E22" s="14" t="s">
        <v>414</v>
      </c>
      <c r="F22" s="17" t="s">
        <v>6</v>
      </c>
      <c r="G22" s="22" t="n">
        <v>46307</v>
      </c>
      <c r="H22" s="14" t="s">
        <v>325</v>
      </c>
      <c r="I22" s="14" t="s">
        <v>326</v>
      </c>
      <c r="J22" s="14" t="s">
        <v>420</v>
      </c>
      <c r="K22" s="11"/>
      <c r="L22" s="20"/>
      <c r="M22" s="23"/>
      <c r="N22" s="18"/>
      <c r="O22" s="18"/>
      <c r="P22" s="20"/>
      <c r="Q22" s="17" t="str">
        <f aca="false">IF(L22&lt;&gt;"",L22,IF(F22&lt;&gt;"",F22,"No ejecutado"))</f>
        <v>Pass</v>
      </c>
      <c r="R22" s="14" t="s">
        <v>421</v>
      </c>
    </row>
    <row r="23" customFormat="false" ht="35.05" hidden="false" customHeight="false" outlineLevel="0" collapsed="false">
      <c r="A23" s="7" t="s">
        <v>422</v>
      </c>
      <c r="B23" s="11" t="s">
        <v>423</v>
      </c>
      <c r="C23" s="14" t="s">
        <v>424</v>
      </c>
      <c r="D23" s="11" t="s">
        <v>343</v>
      </c>
      <c r="E23" s="14" t="s">
        <v>425</v>
      </c>
      <c r="F23" s="17" t="s">
        <v>7</v>
      </c>
      <c r="G23" s="22" t="n">
        <v>46307</v>
      </c>
      <c r="H23" s="14" t="s">
        <v>325</v>
      </c>
      <c r="I23" s="14" t="s">
        <v>326</v>
      </c>
      <c r="J23" s="14" t="s">
        <v>426</v>
      </c>
      <c r="K23" s="11" t="s">
        <v>427</v>
      </c>
      <c r="L23" s="20"/>
      <c r="M23" s="23"/>
      <c r="N23" s="18"/>
      <c r="O23" s="18"/>
      <c r="P23" s="20"/>
      <c r="Q23" s="17" t="str">
        <f aca="false">IF(L23&lt;&gt;"",L23,IF(F23&lt;&gt;"",F23,"No ejecutado"))</f>
        <v>Fail</v>
      </c>
      <c r="R23" s="14" t="s">
        <v>428</v>
      </c>
    </row>
    <row r="24" customFormat="false" ht="35.05" hidden="false" customHeight="false" outlineLevel="0" collapsed="false">
      <c r="A24" s="7" t="s">
        <v>429</v>
      </c>
      <c r="B24" s="11" t="s">
        <v>423</v>
      </c>
      <c r="C24" s="14" t="s">
        <v>430</v>
      </c>
      <c r="D24" s="11" t="s">
        <v>343</v>
      </c>
      <c r="E24" s="14" t="s">
        <v>425</v>
      </c>
      <c r="F24" s="17" t="s">
        <v>6</v>
      </c>
      <c r="G24" s="22" t="n">
        <v>46307</v>
      </c>
      <c r="H24" s="14" t="s">
        <v>325</v>
      </c>
      <c r="I24" s="14" t="s">
        <v>326</v>
      </c>
      <c r="J24" s="14" t="s">
        <v>431</v>
      </c>
      <c r="K24" s="11"/>
      <c r="L24" s="20"/>
      <c r="M24" s="23"/>
      <c r="N24" s="18"/>
      <c r="O24" s="18"/>
      <c r="P24" s="20"/>
      <c r="Q24" s="17" t="str">
        <f aca="false">IF(L24&lt;&gt;"",L24,IF(F24&lt;&gt;"",F24,"No ejecutado"))</f>
        <v>Pass</v>
      </c>
      <c r="R24" s="14" t="s">
        <v>432</v>
      </c>
    </row>
    <row r="25" customFormat="false" ht="35.05" hidden="false" customHeight="false" outlineLevel="0" collapsed="false">
      <c r="A25" s="7" t="s">
        <v>433</v>
      </c>
      <c r="B25" s="11" t="s">
        <v>423</v>
      </c>
      <c r="C25" s="14" t="s">
        <v>434</v>
      </c>
      <c r="D25" s="11" t="s">
        <v>343</v>
      </c>
      <c r="E25" s="14" t="s">
        <v>435</v>
      </c>
      <c r="F25" s="17" t="s">
        <v>7</v>
      </c>
      <c r="G25" s="22" t="n">
        <v>46307</v>
      </c>
      <c r="H25" s="14" t="s">
        <v>325</v>
      </c>
      <c r="I25" s="14" t="s">
        <v>326</v>
      </c>
      <c r="J25" s="14" t="s">
        <v>436</v>
      </c>
      <c r="K25" s="11" t="s">
        <v>437</v>
      </c>
      <c r="L25" s="20"/>
      <c r="M25" s="23"/>
      <c r="N25" s="18"/>
      <c r="O25" s="18"/>
      <c r="P25" s="20"/>
      <c r="Q25" s="17" t="str">
        <f aca="false">IF(L25&lt;&gt;"",L25,IF(F25&lt;&gt;"",F25,"No ejecutado"))</f>
        <v>Fail</v>
      </c>
      <c r="R25" s="14" t="s">
        <v>438</v>
      </c>
    </row>
    <row r="26" customFormat="false" ht="35.05" hidden="false" customHeight="false" outlineLevel="0" collapsed="false">
      <c r="A26" s="7" t="s">
        <v>439</v>
      </c>
      <c r="B26" s="11" t="s">
        <v>440</v>
      </c>
      <c r="C26" s="14" t="s">
        <v>441</v>
      </c>
      <c r="D26" s="11" t="s">
        <v>343</v>
      </c>
      <c r="E26" s="14" t="s">
        <v>442</v>
      </c>
      <c r="F26" s="17" t="s">
        <v>6</v>
      </c>
      <c r="G26" s="22" t="n">
        <v>46307</v>
      </c>
      <c r="H26" s="14" t="s">
        <v>325</v>
      </c>
      <c r="I26" s="14" t="s">
        <v>326</v>
      </c>
      <c r="J26" s="14" t="s">
        <v>443</v>
      </c>
      <c r="K26" s="11" t="s">
        <v>444</v>
      </c>
      <c r="L26" s="20"/>
      <c r="M26" s="23"/>
      <c r="N26" s="18"/>
      <c r="O26" s="18"/>
      <c r="P26" s="20"/>
      <c r="Q26" s="17" t="str">
        <f aca="false">IF(L26&lt;&gt;"",L26,IF(F26&lt;&gt;"",F26,"No ejecutado"))</f>
        <v>Pass</v>
      </c>
      <c r="R26" s="14" t="s">
        <v>445</v>
      </c>
    </row>
    <row r="27" customFormat="false" ht="35.05" hidden="false" customHeight="false" outlineLevel="0" collapsed="false">
      <c r="A27" s="7" t="s">
        <v>446</v>
      </c>
      <c r="B27" s="11" t="s">
        <v>447</v>
      </c>
      <c r="C27" s="14" t="s">
        <v>448</v>
      </c>
      <c r="D27" s="11" t="s">
        <v>323</v>
      </c>
      <c r="E27" s="14" t="s">
        <v>449</v>
      </c>
      <c r="F27" s="17" t="s">
        <v>6</v>
      </c>
      <c r="G27" s="22" t="n">
        <v>46307</v>
      </c>
      <c r="H27" s="14" t="s">
        <v>325</v>
      </c>
      <c r="I27" s="14" t="s">
        <v>326</v>
      </c>
      <c r="J27" s="14" t="s">
        <v>450</v>
      </c>
      <c r="K27" s="11" t="s">
        <v>451</v>
      </c>
      <c r="L27" s="20"/>
      <c r="M27" s="23"/>
      <c r="N27" s="18"/>
      <c r="O27" s="18"/>
      <c r="P27" s="20"/>
      <c r="Q27" s="17" t="str">
        <f aca="false">IF(L27&lt;&gt;"",L27,IF(F27&lt;&gt;"",F27,"No ejecutado"))</f>
        <v>Pass</v>
      </c>
      <c r="R27" s="14" t="s">
        <v>452</v>
      </c>
    </row>
    <row r="28" customFormat="false" ht="35.05" hidden="false" customHeight="false" outlineLevel="0" collapsed="false">
      <c r="A28" s="7" t="s">
        <v>453</v>
      </c>
      <c r="B28" s="11" t="s">
        <v>447</v>
      </c>
      <c r="C28" s="14" t="s">
        <v>454</v>
      </c>
      <c r="D28" s="11" t="s">
        <v>323</v>
      </c>
      <c r="E28" s="14" t="s">
        <v>455</v>
      </c>
      <c r="F28" s="17" t="s">
        <v>7</v>
      </c>
      <c r="G28" s="22" t="n">
        <v>46307</v>
      </c>
      <c r="H28" s="14" t="s">
        <v>325</v>
      </c>
      <c r="I28" s="14" t="s">
        <v>326</v>
      </c>
      <c r="J28" s="14" t="s">
        <v>456</v>
      </c>
      <c r="K28" s="11" t="s">
        <v>457</v>
      </c>
      <c r="L28" s="20"/>
      <c r="M28" s="23"/>
      <c r="N28" s="18"/>
      <c r="O28" s="18"/>
      <c r="P28" s="20"/>
      <c r="Q28" s="17" t="str">
        <f aca="false">IF(L28&lt;&gt;"",L28,IF(F28&lt;&gt;"",F28,"No ejecutado"))</f>
        <v>Fail</v>
      </c>
      <c r="R28" s="14" t="s">
        <v>458</v>
      </c>
    </row>
    <row r="29" customFormat="false" ht="35.05" hidden="false" customHeight="false" outlineLevel="0" collapsed="false">
      <c r="A29" s="7" t="s">
        <v>459</v>
      </c>
      <c r="B29" s="11" t="s">
        <v>447</v>
      </c>
      <c r="C29" s="14" t="s">
        <v>460</v>
      </c>
      <c r="D29" s="11" t="s">
        <v>323</v>
      </c>
      <c r="E29" s="14" t="s">
        <v>455</v>
      </c>
      <c r="F29" s="17" t="s">
        <v>6</v>
      </c>
      <c r="G29" s="22" t="n">
        <v>46307</v>
      </c>
      <c r="H29" s="14" t="s">
        <v>325</v>
      </c>
      <c r="I29" s="14" t="s">
        <v>326</v>
      </c>
      <c r="J29" s="14" t="s">
        <v>461</v>
      </c>
      <c r="K29" s="11"/>
      <c r="L29" s="20"/>
      <c r="M29" s="23"/>
      <c r="N29" s="18"/>
      <c r="O29" s="18"/>
      <c r="P29" s="20"/>
      <c r="Q29" s="17" t="str">
        <f aca="false">IF(L29&lt;&gt;"",L29,IF(F29&lt;&gt;"",F29,"No ejecutado"))</f>
        <v>Pass</v>
      </c>
      <c r="R29" s="14" t="s">
        <v>462</v>
      </c>
    </row>
    <row r="30" customFormat="false" ht="35.05" hidden="false" customHeight="false" outlineLevel="0" collapsed="false">
      <c r="A30" s="7" t="s">
        <v>463</v>
      </c>
      <c r="B30" s="11" t="s">
        <v>447</v>
      </c>
      <c r="C30" s="14" t="s">
        <v>464</v>
      </c>
      <c r="D30" s="11" t="s">
        <v>343</v>
      </c>
      <c r="E30" s="14" t="s">
        <v>465</v>
      </c>
      <c r="F30" s="17" t="s">
        <v>6</v>
      </c>
      <c r="G30" s="22" t="n">
        <v>46307</v>
      </c>
      <c r="H30" s="14" t="s">
        <v>325</v>
      </c>
      <c r="I30" s="14" t="s">
        <v>326</v>
      </c>
      <c r="J30" s="14" t="s">
        <v>466</v>
      </c>
      <c r="K30" s="11"/>
      <c r="L30" s="20"/>
      <c r="M30" s="23"/>
      <c r="N30" s="18"/>
      <c r="O30" s="18"/>
      <c r="P30" s="20"/>
      <c r="Q30" s="17" t="str">
        <f aca="false">IF(L30&lt;&gt;"",L30,IF(F30&lt;&gt;"",F30,"No ejecutado"))</f>
        <v>Pass</v>
      </c>
      <c r="R30" s="14" t="s">
        <v>467</v>
      </c>
    </row>
    <row r="31" customFormat="false" ht="35.05" hidden="false" customHeight="false" outlineLevel="0" collapsed="false">
      <c r="A31" s="7" t="s">
        <v>468</v>
      </c>
      <c r="B31" s="11" t="s">
        <v>447</v>
      </c>
      <c r="C31" s="14" t="s">
        <v>469</v>
      </c>
      <c r="D31" s="11" t="s">
        <v>343</v>
      </c>
      <c r="E31" s="14" t="s">
        <v>470</v>
      </c>
      <c r="F31" s="17" t="s">
        <v>6</v>
      </c>
      <c r="G31" s="22" t="n">
        <v>46307</v>
      </c>
      <c r="H31" s="14" t="s">
        <v>325</v>
      </c>
      <c r="I31" s="14" t="s">
        <v>326</v>
      </c>
      <c r="J31" s="14" t="s">
        <v>471</v>
      </c>
      <c r="K31" s="11"/>
      <c r="L31" s="20"/>
      <c r="M31" s="23"/>
      <c r="N31" s="18"/>
      <c r="O31" s="18"/>
      <c r="P31" s="20"/>
      <c r="Q31" s="17" t="str">
        <f aca="false">IF(L31&lt;&gt;"",L31,IF(F31&lt;&gt;"",F31,"No ejecutado"))</f>
        <v>Pass</v>
      </c>
      <c r="R31" s="14" t="s">
        <v>472</v>
      </c>
    </row>
    <row r="32" customFormat="false" ht="35.05" hidden="false" customHeight="false" outlineLevel="0" collapsed="false">
      <c r="A32" s="7" t="s">
        <v>473</v>
      </c>
      <c r="B32" s="11" t="s">
        <v>447</v>
      </c>
      <c r="C32" s="14" t="s">
        <v>474</v>
      </c>
      <c r="D32" s="11" t="s">
        <v>343</v>
      </c>
      <c r="E32" s="14" t="s">
        <v>475</v>
      </c>
      <c r="F32" s="17" t="s">
        <v>7</v>
      </c>
      <c r="G32" s="22" t="n">
        <v>46307</v>
      </c>
      <c r="H32" s="14" t="s">
        <v>325</v>
      </c>
      <c r="I32" s="14" t="s">
        <v>326</v>
      </c>
      <c r="J32" s="14" t="s">
        <v>476</v>
      </c>
      <c r="K32" s="11" t="s">
        <v>477</v>
      </c>
      <c r="L32" s="20"/>
      <c r="M32" s="23"/>
      <c r="N32" s="18"/>
      <c r="O32" s="18"/>
      <c r="P32" s="20"/>
      <c r="Q32" s="17" t="str">
        <f aca="false">IF(L32&lt;&gt;"",L32,IF(F32&lt;&gt;"",F32,"No ejecutado"))</f>
        <v>Fail</v>
      </c>
      <c r="R32" s="14" t="s">
        <v>478</v>
      </c>
    </row>
    <row r="33" customFormat="false" ht="46.25" hidden="false" customHeight="false" outlineLevel="0" collapsed="false">
      <c r="A33" s="7" t="s">
        <v>479</v>
      </c>
      <c r="B33" s="11" t="s">
        <v>447</v>
      </c>
      <c r="C33" s="14" t="s">
        <v>480</v>
      </c>
      <c r="D33" s="11" t="s">
        <v>323</v>
      </c>
      <c r="E33" s="14" t="s">
        <v>481</v>
      </c>
      <c r="F33" s="17" t="s">
        <v>7</v>
      </c>
      <c r="G33" s="22" t="n">
        <v>46307</v>
      </c>
      <c r="H33" s="14" t="s">
        <v>325</v>
      </c>
      <c r="I33" s="14" t="s">
        <v>326</v>
      </c>
      <c r="J33" s="14" t="s">
        <v>482</v>
      </c>
      <c r="K33" s="11" t="s">
        <v>483</v>
      </c>
      <c r="L33" s="20"/>
      <c r="M33" s="23"/>
      <c r="N33" s="18"/>
      <c r="O33" s="18"/>
      <c r="P33" s="20"/>
      <c r="Q33" s="17" t="str">
        <f aca="false">IF(L33&lt;&gt;"",L33,IF(F33&lt;&gt;"",F33,"No ejecutado"))</f>
        <v>Fail</v>
      </c>
      <c r="R33" s="14" t="s">
        <v>484</v>
      </c>
    </row>
  </sheetData>
  <autoFilter ref="A4:R33"/>
  <conditionalFormatting sqref="F5:F33">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"Bloqueado"</formula>
    </cfRule>
    <cfRule type="cellIs" priority="5" operator="equal" aboveAverage="0" equalAverage="0" bottom="0" percent="0" rank="0" text="" dxfId="10">
      <formula>"N/A"</formula>
    </cfRule>
  </conditionalFormatting>
  <conditionalFormatting sqref="L5:L33">
    <cfRule type="cellIs" priority="6" operator="equal" aboveAverage="0" equalAverage="0" bottom="0" percent="0" rank="0" text="" dxfId="0">
      <formula>"Pass"</formula>
    </cfRule>
    <cfRule type="cellIs" priority="7" operator="equal" aboveAverage="0" equalAverage="0" bottom="0" percent="0" rank="0" text="" dxfId="1">
      <formula>"Fail"</formula>
    </cfRule>
    <cfRule type="cellIs" priority="8" operator="equal" aboveAverage="0" equalAverage="0" bottom="0" percent="0" rank="0" text="" dxfId="2">
      <formula>"Bloqueado"</formula>
    </cfRule>
    <cfRule type="cellIs" priority="9" operator="equal" aboveAverage="0" equalAverage="0" bottom="0" percent="0" rank="0" text="" dxfId="10">
      <formula>"N/A"</formula>
    </cfRule>
  </conditionalFormatting>
  <conditionalFormatting sqref="Q5:Q33">
    <cfRule type="cellIs" priority="10" operator="equal" aboveAverage="0" equalAverage="0" bottom="0" percent="0" rank="0" text="" dxfId="0">
      <formula>"Pass"</formula>
    </cfRule>
    <cfRule type="cellIs" priority="11" operator="equal" aboveAverage="0" equalAverage="0" bottom="0" percent="0" rank="0" text="" dxfId="1">
      <formula>"Fail"</formula>
    </cfRule>
    <cfRule type="cellIs" priority="12" operator="equal" aboveAverage="0" equalAverage="0" bottom="0" percent="0" rank="0" text="" dxfId="2">
      <formula>"Bloqueado"</formula>
    </cfRule>
    <cfRule type="cellIs" priority="13" operator="equal" aboveAverage="0" equalAverage="0" bottom="0" percent="0" rank="0" text="" dxfId="10">
      <formula>"N/A"</formula>
    </cfRule>
  </conditionalFormatting>
  <dataValidations count="2">
    <dataValidation allowBlank="true" errorStyle="stop" operator="between" showDropDown="false" showErrorMessage="false" showInputMessage="false" sqref="F5:F33" type="list">
      <formula1>"Pass,Fail,Bloqueado,No ejecutado"</formula1>
      <formula2>0</formula2>
    </dataValidation>
    <dataValidation allowBlank="true" errorStyle="stop" operator="between" showDropDown="false" showErrorMessage="false" showInputMessage="false" sqref="L5:L33" type="list">
      <formula1>"Pass,Fail,Bloqueado,No ejecutado"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9"/>
    <col collapsed="false" customWidth="true" hidden="false" outlineLevel="0" max="5" min="4" style="0" width="11"/>
    <col collapsed="false" customWidth="true" hidden="false" outlineLevel="0" max="10" min="6" style="0" width="9"/>
    <col collapsed="false" customWidth="true" hidden="false" outlineLevel="0" max="11" min="11" style="0" width="12"/>
    <col collapsed="false" customWidth="true" hidden="false" outlineLevel="0" max="12" min="12" style="0" width="11"/>
  </cols>
  <sheetData>
    <row r="1" customFormat="false" ht="17.35" hidden="false" customHeight="false" outlineLevel="0" collapsed="false">
      <c r="A1" s="1" t="s">
        <v>485</v>
      </c>
    </row>
    <row r="2" customFormat="false" ht="15" hidden="false" customHeight="false" outlineLevel="0" collapsed="false">
      <c r="A2" s="12" t="s">
        <v>486</v>
      </c>
    </row>
    <row r="4" customFormat="false" ht="15" hidden="false" customHeight="false" outlineLevel="0" collapsed="false">
      <c r="A4" s="13" t="s">
        <v>487</v>
      </c>
      <c r="B4" s="13" t="s">
        <v>488</v>
      </c>
      <c r="C4" s="13" t="s">
        <v>304</v>
      </c>
      <c r="D4" s="13" t="s">
        <v>489</v>
      </c>
      <c r="E4" s="13" t="s">
        <v>490</v>
      </c>
      <c r="F4" s="13" t="s">
        <v>491</v>
      </c>
      <c r="G4" s="13" t="s">
        <v>492</v>
      </c>
      <c r="H4" s="13" t="s">
        <v>493</v>
      </c>
      <c r="I4" s="13" t="s">
        <v>494</v>
      </c>
      <c r="J4" s="13" t="s">
        <v>495</v>
      </c>
      <c r="K4" s="13" t="s">
        <v>496</v>
      </c>
      <c r="L4" s="13" t="s">
        <v>497</v>
      </c>
    </row>
    <row r="5" customFormat="false" ht="15" hidden="false" customHeight="false" outlineLevel="0" collapsed="false">
      <c r="A5" s="10" t="s">
        <v>498</v>
      </c>
      <c r="B5" s="11" t="s">
        <v>499</v>
      </c>
      <c r="C5" s="11" t="s">
        <v>361</v>
      </c>
      <c r="D5" s="11" t="n">
        <v>3</v>
      </c>
      <c r="E5" s="11" t="s">
        <v>500</v>
      </c>
      <c r="F5" s="24" t="n">
        <v>0.264</v>
      </c>
      <c r="G5" s="24" t="n">
        <v>0.372</v>
      </c>
      <c r="H5" s="24" t="n">
        <v>0.26</v>
      </c>
      <c r="I5" s="24" t="n">
        <v>0.268</v>
      </c>
      <c r="J5" s="24" t="n">
        <v>0.258</v>
      </c>
      <c r="K5" s="25" t="n">
        <f aca="false">IF(COUNT(F5:J5)=0,"",AVERAGE(F5:J5))</f>
        <v>0.2844</v>
      </c>
      <c r="L5" s="11" t="str">
        <f aca="false">IF(K5="","Pendiente",IF(IF(E5="&lt;",K5&lt;D5,K5&lt;=D5),"Sí","No"))</f>
        <v>Sí</v>
      </c>
    </row>
    <row r="6" customFormat="false" ht="23.85" hidden="false" customHeight="false" outlineLevel="0" collapsed="false">
      <c r="A6" s="10" t="s">
        <v>501</v>
      </c>
      <c r="B6" s="11" t="s">
        <v>502</v>
      </c>
      <c r="C6" s="11" t="s">
        <v>368</v>
      </c>
      <c r="D6" s="11" t="n">
        <v>3</v>
      </c>
      <c r="E6" s="11" t="s">
        <v>500</v>
      </c>
      <c r="F6" s="24" t="n">
        <v>0.237</v>
      </c>
      <c r="G6" s="24" t="n">
        <v>0.119</v>
      </c>
      <c r="H6" s="24" t="n">
        <v>0.145</v>
      </c>
      <c r="I6" s="24" t="n">
        <v>0.124</v>
      </c>
      <c r="J6" s="24" t="n">
        <v>0.141</v>
      </c>
      <c r="K6" s="25" t="n">
        <f aca="false">IF(COUNT(F6:J6)=0,"",AVERAGE(F6:J6))</f>
        <v>0.1532</v>
      </c>
      <c r="L6" s="11" t="str">
        <f aca="false">IF(K6="","Pendiente",IF(IF(E6="&lt;",K6&lt;D6,K6&lt;=D6),"Sí","No"))</f>
        <v>Sí</v>
      </c>
    </row>
    <row r="7" customFormat="false" ht="15" hidden="false" customHeight="false" outlineLevel="0" collapsed="false">
      <c r="A7" s="10" t="s">
        <v>504</v>
      </c>
      <c r="B7" s="11" t="s">
        <v>505</v>
      </c>
      <c r="C7" s="11" t="s">
        <v>320</v>
      </c>
      <c r="D7" s="11" t="n">
        <v>2</v>
      </c>
      <c r="E7" s="11" t="s">
        <v>500</v>
      </c>
      <c r="F7" s="24" t="n">
        <v>2.399</v>
      </c>
      <c r="G7" s="26"/>
      <c r="H7" s="26"/>
      <c r="I7" s="26"/>
      <c r="J7" s="26"/>
      <c r="K7" s="25" t="n">
        <f aca="false">IF(COUNT(F7:J7)=0,"",AVERAGE(F7:J7))</f>
        <v>2.399</v>
      </c>
      <c r="L7" s="11" t="str">
        <f aca="false">IF(K7="","Pendiente",IF(IF(E7="&lt;",K7&lt;D7,K7&lt;=D7),"Sí","No"))</f>
        <v>No</v>
      </c>
    </row>
    <row r="8" customFormat="false" ht="15" hidden="false" customHeight="false" outlineLevel="0" collapsed="false">
      <c r="A8" s="10" t="s">
        <v>506</v>
      </c>
      <c r="B8" s="11" t="s">
        <v>338</v>
      </c>
      <c r="C8" s="11" t="s">
        <v>336</v>
      </c>
      <c r="D8" s="11" t="n">
        <v>2</v>
      </c>
      <c r="E8" s="11" t="s">
        <v>500</v>
      </c>
      <c r="F8" s="24" t="n">
        <v>0.866</v>
      </c>
      <c r="G8" s="24" t="n">
        <v>0.873</v>
      </c>
      <c r="H8" s="24" t="n">
        <v>0.846</v>
      </c>
      <c r="I8" s="24" t="n">
        <v>0.342</v>
      </c>
      <c r="J8" s="24" t="n">
        <v>0.861</v>
      </c>
      <c r="K8" s="25" t="n">
        <f aca="false">IF(COUNT(F8:J8)=0,"",AVERAGE(F8:J8))</f>
        <v>0.7576</v>
      </c>
      <c r="L8" s="11" t="str">
        <f aca="false">IF(K8="","Pendiente",IF(IF(E8="&lt;",K8&lt;D8,K8&lt;=D8),"Sí","No"))</f>
        <v>Sí</v>
      </c>
    </row>
    <row r="9" customFormat="false" ht="15" hidden="false" customHeight="false" outlineLevel="0" collapsed="false">
      <c r="A9" s="10" t="s">
        <v>507</v>
      </c>
      <c r="B9" s="11" t="s">
        <v>408</v>
      </c>
      <c r="C9" s="11" t="s">
        <v>395</v>
      </c>
      <c r="D9" s="11" t="n">
        <v>2</v>
      </c>
      <c r="E9" s="11" t="s">
        <v>500</v>
      </c>
      <c r="F9" s="24" t="n">
        <v>0.344</v>
      </c>
      <c r="G9" s="26"/>
      <c r="H9" s="26"/>
      <c r="I9" s="26"/>
      <c r="J9" s="26"/>
      <c r="K9" s="25" t="n">
        <f aca="false">IF(COUNT(F9:J9)=0,"",AVERAGE(F9:J9))</f>
        <v>0.344</v>
      </c>
      <c r="L9" s="11" t="str">
        <f aca="false">IF(K9="","Pendiente",IF(IF(E9="&lt;",K9&lt;D9,K9&lt;=D9),"Sí","No"))</f>
        <v>Sí</v>
      </c>
    </row>
    <row r="11" customFormat="false" ht="15" hidden="false" customHeight="false" outlineLevel="0" collapsed="false">
      <c r="A11" s="4" t="s">
        <v>508</v>
      </c>
    </row>
    <row r="12" customFormat="false" ht="15" hidden="false" customHeight="false" outlineLevel="0" collapsed="false">
      <c r="A12" s="4" t="s">
        <v>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10"/>
    <col collapsed="false" customWidth="true" hidden="false" outlineLevel="0" max="4" min="4" style="0" width="22"/>
    <col collapsed="false" customWidth="true" hidden="false" outlineLevel="0" max="5" min="5" style="0" width="15"/>
    <col collapsed="false" customWidth="true" hidden="false" outlineLevel="0" max="6" min="6" style="0" width="26"/>
    <col collapsed="false" customWidth="true" hidden="false" outlineLevel="0" max="7" min="7" style="0" width="44"/>
    <col collapsed="false" customWidth="true" hidden="false" outlineLevel="0" max="9" min="8" style="0" width="30"/>
    <col collapsed="false" customWidth="true" hidden="false" outlineLevel="0" max="10" min="10" style="0" width="10"/>
    <col collapsed="false" customWidth="true" hidden="false" outlineLevel="0" max="12" min="11" style="0" width="13"/>
    <col collapsed="false" customWidth="true" hidden="false" outlineLevel="0" max="13" min="13" style="0" width="11"/>
    <col collapsed="false" customWidth="true" hidden="false" outlineLevel="0" max="14" min="14" style="0" width="13"/>
    <col collapsed="false" customWidth="true" hidden="false" outlineLevel="0" max="15" min="15" style="0" width="11"/>
    <col collapsed="false" customWidth="true" hidden="false" outlineLevel="0" max="16" min="16" style="0" width="30"/>
  </cols>
  <sheetData>
    <row r="1" customFormat="false" ht="17.35" hidden="false" customHeight="false" outlineLevel="0" collapsed="false">
      <c r="A1" s="1" t="s">
        <v>510</v>
      </c>
    </row>
    <row r="2" customFormat="false" ht="15" hidden="false" customHeight="false" outlineLevel="0" collapsed="false">
      <c r="A2" s="12" t="s">
        <v>511</v>
      </c>
    </row>
    <row r="4" customFormat="false" ht="35.05" hidden="false" customHeight="false" outlineLevel="0" collapsed="false">
      <c r="A4" s="13" t="s">
        <v>109</v>
      </c>
      <c r="B4" s="13" t="s">
        <v>512</v>
      </c>
      <c r="C4" s="13" t="s">
        <v>513</v>
      </c>
      <c r="D4" s="13" t="s">
        <v>514</v>
      </c>
      <c r="E4" s="13" t="s">
        <v>72</v>
      </c>
      <c r="F4" s="13" t="s">
        <v>515</v>
      </c>
      <c r="G4" s="13" t="s">
        <v>516</v>
      </c>
      <c r="H4" s="13" t="s">
        <v>517</v>
      </c>
      <c r="I4" s="13" t="s">
        <v>518</v>
      </c>
      <c r="J4" s="13" t="s">
        <v>16</v>
      </c>
      <c r="K4" s="13" t="s">
        <v>519</v>
      </c>
      <c r="L4" s="13" t="s">
        <v>76</v>
      </c>
      <c r="M4" s="13" t="s">
        <v>520</v>
      </c>
      <c r="N4" s="13" t="s">
        <v>521</v>
      </c>
      <c r="O4" s="13" t="s">
        <v>522</v>
      </c>
      <c r="P4" s="13" t="s">
        <v>83</v>
      </c>
    </row>
    <row r="5" customFormat="false" ht="46.25" hidden="false" customHeight="false" outlineLevel="0" collapsed="false">
      <c r="A5" s="7" t="s">
        <v>253</v>
      </c>
      <c r="B5" s="11" t="s">
        <v>84</v>
      </c>
      <c r="C5" s="11" t="s">
        <v>113</v>
      </c>
      <c r="D5" s="14" t="s">
        <v>523</v>
      </c>
      <c r="E5" s="14" t="s">
        <v>524</v>
      </c>
      <c r="F5" s="14" t="s">
        <v>525</v>
      </c>
      <c r="G5" s="14" t="s">
        <v>526</v>
      </c>
      <c r="H5" s="14" t="s">
        <v>527</v>
      </c>
      <c r="I5" s="14" t="s">
        <v>528</v>
      </c>
      <c r="J5" s="17" t="s">
        <v>23</v>
      </c>
      <c r="K5" s="20" t="s">
        <v>529</v>
      </c>
      <c r="L5" s="18"/>
      <c r="M5" s="20"/>
      <c r="N5" s="18"/>
      <c r="O5" s="20"/>
      <c r="P5" s="14" t="s">
        <v>530</v>
      </c>
    </row>
    <row r="6" customFormat="false" ht="35.05" hidden="false" customHeight="false" outlineLevel="0" collapsed="false">
      <c r="A6" s="7" t="s">
        <v>258</v>
      </c>
      <c r="B6" s="11" t="s">
        <v>84</v>
      </c>
      <c r="C6" s="11" t="s">
        <v>113</v>
      </c>
      <c r="D6" s="14" t="s">
        <v>531</v>
      </c>
      <c r="E6" s="14" t="s">
        <v>524</v>
      </c>
      <c r="F6" s="14" t="s">
        <v>532</v>
      </c>
      <c r="G6" s="14" t="s">
        <v>533</v>
      </c>
      <c r="H6" s="14" t="s">
        <v>527</v>
      </c>
      <c r="I6" s="14" t="s">
        <v>534</v>
      </c>
      <c r="J6" s="17" t="s">
        <v>23</v>
      </c>
      <c r="K6" s="20" t="s">
        <v>529</v>
      </c>
      <c r="L6" s="18"/>
      <c r="M6" s="20"/>
      <c r="N6" s="18"/>
      <c r="O6" s="20"/>
      <c r="P6" s="14"/>
    </row>
    <row r="7" customFormat="false" ht="35.05" hidden="false" customHeight="false" outlineLevel="0" collapsed="false">
      <c r="A7" s="7" t="s">
        <v>299</v>
      </c>
      <c r="B7" s="11" t="s">
        <v>84</v>
      </c>
      <c r="C7" s="11" t="s">
        <v>113</v>
      </c>
      <c r="D7" s="14" t="s">
        <v>297</v>
      </c>
      <c r="E7" s="14" t="s">
        <v>524</v>
      </c>
      <c r="F7" s="14" t="s">
        <v>298</v>
      </c>
      <c r="G7" s="14" t="s">
        <v>535</v>
      </c>
      <c r="H7" s="14" t="s">
        <v>536</v>
      </c>
      <c r="I7" s="14" t="s">
        <v>537</v>
      </c>
      <c r="J7" s="17" t="s">
        <v>24</v>
      </c>
      <c r="K7" s="20" t="s">
        <v>529</v>
      </c>
      <c r="L7" s="18"/>
      <c r="M7" s="20"/>
      <c r="N7" s="18"/>
      <c r="O7" s="20"/>
      <c r="P7" s="14"/>
    </row>
    <row r="8" customFormat="false" ht="57.45" hidden="false" customHeight="false" outlineLevel="0" collapsed="false">
      <c r="A8" s="7" t="s">
        <v>146</v>
      </c>
      <c r="B8" s="11" t="s">
        <v>84</v>
      </c>
      <c r="C8" s="11" t="s">
        <v>114</v>
      </c>
      <c r="D8" s="14" t="s">
        <v>145</v>
      </c>
      <c r="E8" s="14" t="s">
        <v>538</v>
      </c>
      <c r="F8" s="14" t="s">
        <v>539</v>
      </c>
      <c r="G8" s="14" t="s">
        <v>540</v>
      </c>
      <c r="H8" s="14" t="s">
        <v>541</v>
      </c>
      <c r="I8" s="14" t="s">
        <v>542</v>
      </c>
      <c r="J8" s="17" t="s">
        <v>22</v>
      </c>
      <c r="K8" s="20" t="s">
        <v>529</v>
      </c>
      <c r="L8" s="18"/>
      <c r="M8" s="20"/>
      <c r="N8" s="18"/>
      <c r="O8" s="20"/>
      <c r="P8" s="14"/>
    </row>
    <row r="9" customFormat="false" ht="35.05" hidden="false" customHeight="false" outlineLevel="0" collapsed="false">
      <c r="A9" s="7" t="s">
        <v>131</v>
      </c>
      <c r="B9" s="11" t="s">
        <v>84</v>
      </c>
      <c r="C9" s="11" t="s">
        <v>114</v>
      </c>
      <c r="D9" s="14" t="s">
        <v>130</v>
      </c>
      <c r="E9" s="14" t="s">
        <v>538</v>
      </c>
      <c r="F9" s="14" t="s">
        <v>543</v>
      </c>
      <c r="G9" s="14" t="s">
        <v>544</v>
      </c>
      <c r="H9" s="14" t="s">
        <v>545</v>
      </c>
      <c r="I9" s="14" t="s">
        <v>546</v>
      </c>
      <c r="J9" s="17" t="s">
        <v>23</v>
      </c>
      <c r="K9" s="20" t="s">
        <v>529</v>
      </c>
      <c r="L9" s="18"/>
      <c r="M9" s="20"/>
      <c r="N9" s="18"/>
      <c r="O9" s="20"/>
      <c r="P9" s="14"/>
    </row>
    <row r="10" customFormat="false" ht="35.05" hidden="false" customHeight="false" outlineLevel="0" collapsed="false">
      <c r="A10" s="7" t="s">
        <v>193</v>
      </c>
      <c r="B10" s="11" t="s">
        <v>84</v>
      </c>
      <c r="C10" s="11" t="s">
        <v>114</v>
      </c>
      <c r="D10" s="14" t="s">
        <v>192</v>
      </c>
      <c r="E10" s="14" t="s">
        <v>538</v>
      </c>
      <c r="F10" s="14" t="s">
        <v>547</v>
      </c>
      <c r="G10" s="14" t="s">
        <v>548</v>
      </c>
      <c r="H10" s="14" t="s">
        <v>549</v>
      </c>
      <c r="I10" s="14" t="s">
        <v>550</v>
      </c>
      <c r="J10" s="17" t="s">
        <v>23</v>
      </c>
      <c r="K10" s="20" t="s">
        <v>529</v>
      </c>
      <c r="L10" s="18"/>
      <c r="M10" s="20"/>
      <c r="N10" s="18"/>
      <c r="O10" s="20"/>
      <c r="P10" s="14"/>
    </row>
    <row r="11" customFormat="false" ht="35.05" hidden="false" customHeight="false" outlineLevel="0" collapsed="false">
      <c r="A11" s="7" t="s">
        <v>195</v>
      </c>
      <c r="B11" s="11" t="s">
        <v>84</v>
      </c>
      <c r="C11" s="11" t="s">
        <v>114</v>
      </c>
      <c r="D11" s="14" t="s">
        <v>194</v>
      </c>
      <c r="E11" s="14" t="s">
        <v>538</v>
      </c>
      <c r="F11" s="14" t="s">
        <v>547</v>
      </c>
      <c r="G11" s="14" t="s">
        <v>551</v>
      </c>
      <c r="H11" s="14" t="s">
        <v>552</v>
      </c>
      <c r="I11" s="14" t="s">
        <v>553</v>
      </c>
      <c r="J11" s="17" t="s">
        <v>24</v>
      </c>
      <c r="K11" s="20" t="s">
        <v>529</v>
      </c>
      <c r="L11" s="18"/>
      <c r="M11" s="20"/>
      <c r="N11" s="18"/>
      <c r="O11" s="20"/>
      <c r="P11" s="14"/>
    </row>
    <row r="12" customFormat="false" ht="46.25" hidden="false" customHeight="false" outlineLevel="0" collapsed="false">
      <c r="A12" s="7" t="s">
        <v>216</v>
      </c>
      <c r="B12" s="11" t="s">
        <v>84</v>
      </c>
      <c r="C12" s="11" t="s">
        <v>114</v>
      </c>
      <c r="D12" s="14" t="s">
        <v>554</v>
      </c>
      <c r="E12" s="14" t="s">
        <v>538</v>
      </c>
      <c r="F12" s="14" t="s">
        <v>555</v>
      </c>
      <c r="G12" s="14" t="s">
        <v>556</v>
      </c>
      <c r="H12" s="14" t="s">
        <v>557</v>
      </c>
      <c r="I12" s="14" t="s">
        <v>558</v>
      </c>
      <c r="J12" s="17" t="s">
        <v>23</v>
      </c>
      <c r="K12" s="20" t="s">
        <v>529</v>
      </c>
      <c r="L12" s="18"/>
      <c r="M12" s="20"/>
      <c r="N12" s="18"/>
      <c r="O12" s="20"/>
      <c r="P12" s="14" t="s">
        <v>559</v>
      </c>
    </row>
    <row r="13" customFormat="false" ht="35.05" hidden="false" customHeight="false" outlineLevel="0" collapsed="false">
      <c r="A13" s="7" t="s">
        <v>178</v>
      </c>
      <c r="B13" s="11" t="s">
        <v>84</v>
      </c>
      <c r="C13" s="11" t="s">
        <v>114</v>
      </c>
      <c r="D13" s="14" t="s">
        <v>177</v>
      </c>
      <c r="E13" s="14" t="s">
        <v>538</v>
      </c>
      <c r="F13" s="14" t="s">
        <v>560</v>
      </c>
      <c r="G13" s="14" t="s">
        <v>561</v>
      </c>
      <c r="H13" s="14" t="s">
        <v>562</v>
      </c>
      <c r="I13" s="14" t="s">
        <v>563</v>
      </c>
      <c r="J13" s="17" t="s">
        <v>24</v>
      </c>
      <c r="K13" s="20" t="s">
        <v>529</v>
      </c>
      <c r="L13" s="18"/>
      <c r="M13" s="20"/>
      <c r="N13" s="18"/>
      <c r="O13" s="20"/>
      <c r="P13" s="14"/>
    </row>
    <row r="14" customFormat="false" ht="35.05" hidden="false" customHeight="false" outlineLevel="0" collapsed="false">
      <c r="A14" s="7" t="s">
        <v>226</v>
      </c>
      <c r="B14" s="11" t="s">
        <v>84</v>
      </c>
      <c r="C14" s="11" t="s">
        <v>114</v>
      </c>
      <c r="D14" s="14" t="s">
        <v>225</v>
      </c>
      <c r="E14" s="14" t="s">
        <v>538</v>
      </c>
      <c r="F14" s="14" t="s">
        <v>564</v>
      </c>
      <c r="G14" s="14" t="s">
        <v>565</v>
      </c>
      <c r="H14" s="14" t="s">
        <v>566</v>
      </c>
      <c r="I14" s="14" t="s">
        <v>567</v>
      </c>
      <c r="J14" s="17" t="s">
        <v>24</v>
      </c>
      <c r="K14" s="20" t="s">
        <v>529</v>
      </c>
      <c r="L14" s="18"/>
      <c r="M14" s="20"/>
      <c r="N14" s="18"/>
      <c r="O14" s="20"/>
      <c r="P14" s="14"/>
    </row>
    <row r="15" customFormat="false" ht="68.65" hidden="false" customHeight="false" outlineLevel="0" collapsed="false">
      <c r="A15" s="7" t="s">
        <v>334</v>
      </c>
      <c r="B15" s="11" t="s">
        <v>97</v>
      </c>
      <c r="C15" s="11" t="s">
        <v>115</v>
      </c>
      <c r="D15" s="14" t="s">
        <v>330</v>
      </c>
      <c r="E15" s="14" t="s">
        <v>538</v>
      </c>
      <c r="F15" s="14" t="s">
        <v>568</v>
      </c>
      <c r="G15" s="14" t="s">
        <v>569</v>
      </c>
      <c r="H15" s="14" t="s">
        <v>570</v>
      </c>
      <c r="I15" s="14" t="s">
        <v>571</v>
      </c>
      <c r="J15" s="17" t="s">
        <v>23</v>
      </c>
      <c r="K15" s="20" t="s">
        <v>529</v>
      </c>
      <c r="L15" s="18"/>
      <c r="M15" s="20"/>
      <c r="N15" s="18"/>
      <c r="O15" s="20"/>
      <c r="P15" s="14" t="s">
        <v>572</v>
      </c>
    </row>
    <row r="16" customFormat="false" ht="35.05" hidden="false" customHeight="false" outlineLevel="0" collapsed="false">
      <c r="A16" s="7" t="s">
        <v>573</v>
      </c>
      <c r="B16" s="11" t="s">
        <v>97</v>
      </c>
      <c r="C16" s="11" t="s">
        <v>115</v>
      </c>
      <c r="D16" s="14" t="s">
        <v>361</v>
      </c>
      <c r="E16" s="14" t="s">
        <v>538</v>
      </c>
      <c r="F16" s="14" t="s">
        <v>574</v>
      </c>
      <c r="G16" s="14" t="s">
        <v>575</v>
      </c>
      <c r="H16" s="14" t="s">
        <v>576</v>
      </c>
      <c r="I16" s="14" t="s">
        <v>577</v>
      </c>
      <c r="J16" s="17" t="s">
        <v>23</v>
      </c>
      <c r="K16" s="20" t="s">
        <v>529</v>
      </c>
      <c r="L16" s="18"/>
      <c r="M16" s="20"/>
      <c r="N16" s="18"/>
      <c r="O16" s="20"/>
      <c r="P16" s="14" t="s">
        <v>578</v>
      </c>
    </row>
    <row r="17" customFormat="false" ht="23.85" hidden="false" customHeight="false" outlineLevel="0" collapsed="false">
      <c r="A17" s="7" t="s">
        <v>378</v>
      </c>
      <c r="B17" s="11" t="s">
        <v>97</v>
      </c>
      <c r="C17" s="11" t="s">
        <v>115</v>
      </c>
      <c r="D17" s="14" t="s">
        <v>374</v>
      </c>
      <c r="E17" s="14" t="s">
        <v>538</v>
      </c>
      <c r="F17" s="14" t="s">
        <v>579</v>
      </c>
      <c r="G17" s="14" t="s">
        <v>580</v>
      </c>
      <c r="H17" s="14" t="s">
        <v>581</v>
      </c>
      <c r="I17" s="14" t="s">
        <v>582</v>
      </c>
      <c r="J17" s="17" t="s">
        <v>23</v>
      </c>
      <c r="K17" s="20" t="s">
        <v>529</v>
      </c>
      <c r="L17" s="18"/>
      <c r="M17" s="20"/>
      <c r="N17" s="18"/>
      <c r="O17" s="20"/>
      <c r="P17" s="14" t="s">
        <v>583</v>
      </c>
    </row>
    <row r="18" customFormat="false" ht="23.85" hidden="false" customHeight="false" outlineLevel="0" collapsed="false">
      <c r="A18" s="7" t="s">
        <v>584</v>
      </c>
      <c r="B18" s="11" t="s">
        <v>97</v>
      </c>
      <c r="C18" s="11" t="s">
        <v>115</v>
      </c>
      <c r="D18" s="14" t="s">
        <v>422</v>
      </c>
      <c r="E18" s="14" t="s">
        <v>538</v>
      </c>
      <c r="F18" s="14" t="s">
        <v>585</v>
      </c>
      <c r="G18" s="14" t="s">
        <v>586</v>
      </c>
      <c r="H18" s="14" t="s">
        <v>587</v>
      </c>
      <c r="I18" s="14" t="s">
        <v>588</v>
      </c>
      <c r="J18" s="17" t="s">
        <v>24</v>
      </c>
      <c r="K18" s="20" t="s">
        <v>529</v>
      </c>
      <c r="L18" s="18"/>
      <c r="M18" s="20"/>
      <c r="N18" s="18"/>
      <c r="O18" s="20"/>
      <c r="P18" s="14" t="s">
        <v>589</v>
      </c>
    </row>
    <row r="19" customFormat="false" ht="23.85" hidden="false" customHeight="false" outlineLevel="0" collapsed="false">
      <c r="A19" s="7" t="s">
        <v>399</v>
      </c>
      <c r="B19" s="11" t="s">
        <v>97</v>
      </c>
      <c r="C19" s="11" t="s">
        <v>115</v>
      </c>
      <c r="D19" s="14" t="s">
        <v>395</v>
      </c>
      <c r="E19" s="14" t="s">
        <v>538</v>
      </c>
      <c r="F19" s="14" t="s">
        <v>590</v>
      </c>
      <c r="G19" s="14" t="s">
        <v>591</v>
      </c>
      <c r="H19" s="14" t="s">
        <v>592</v>
      </c>
      <c r="I19" s="14" t="s">
        <v>593</v>
      </c>
      <c r="J19" s="17" t="s">
        <v>24</v>
      </c>
      <c r="K19" s="20" t="s">
        <v>529</v>
      </c>
      <c r="L19" s="18"/>
      <c r="M19" s="20"/>
      <c r="N19" s="18"/>
      <c r="O19" s="20"/>
      <c r="P19" s="14" t="s">
        <v>594</v>
      </c>
    </row>
    <row r="20" customFormat="false" ht="23.85" hidden="false" customHeight="false" outlineLevel="0" collapsed="false">
      <c r="A20" s="7" t="s">
        <v>372</v>
      </c>
      <c r="B20" s="11" t="s">
        <v>97</v>
      </c>
      <c r="C20" s="11" t="s">
        <v>115</v>
      </c>
      <c r="D20" s="14" t="s">
        <v>368</v>
      </c>
      <c r="E20" s="14" t="s">
        <v>538</v>
      </c>
      <c r="F20" s="14" t="s">
        <v>579</v>
      </c>
      <c r="G20" s="14" t="s">
        <v>595</v>
      </c>
      <c r="H20" s="14" t="s">
        <v>596</v>
      </c>
      <c r="I20" s="14" t="s">
        <v>597</v>
      </c>
      <c r="J20" s="17" t="s">
        <v>24</v>
      </c>
      <c r="K20" s="20" t="s">
        <v>529</v>
      </c>
      <c r="L20" s="18"/>
      <c r="M20" s="20"/>
      <c r="N20" s="18"/>
      <c r="O20" s="20"/>
      <c r="P20" s="14" t="s">
        <v>598</v>
      </c>
    </row>
    <row r="21" customFormat="false" ht="23.85" hidden="false" customHeight="false" outlineLevel="0" collapsed="false">
      <c r="A21" s="7" t="s">
        <v>599</v>
      </c>
      <c r="B21" s="11" t="s">
        <v>97</v>
      </c>
      <c r="C21" s="11" t="s">
        <v>115</v>
      </c>
      <c r="D21" s="14" t="s">
        <v>453</v>
      </c>
      <c r="E21" s="14" t="s">
        <v>538</v>
      </c>
      <c r="F21" s="14" t="s">
        <v>600</v>
      </c>
      <c r="G21" s="14" t="s">
        <v>601</v>
      </c>
      <c r="H21" s="14" t="s">
        <v>602</v>
      </c>
      <c r="I21" s="14" t="s">
        <v>603</v>
      </c>
      <c r="J21" s="17" t="s">
        <v>24</v>
      </c>
      <c r="K21" s="20" t="s">
        <v>529</v>
      </c>
      <c r="L21" s="18"/>
      <c r="M21" s="20"/>
      <c r="N21" s="18"/>
      <c r="O21" s="20"/>
      <c r="P21" s="14" t="s">
        <v>604</v>
      </c>
    </row>
    <row r="22" customFormat="false" ht="57.45" hidden="false" customHeight="false" outlineLevel="0" collapsed="false">
      <c r="A22" s="7" t="s">
        <v>328</v>
      </c>
      <c r="B22" s="11" t="s">
        <v>97</v>
      </c>
      <c r="C22" s="11" t="s">
        <v>115</v>
      </c>
      <c r="D22" s="14" t="s">
        <v>605</v>
      </c>
      <c r="E22" s="14" t="s">
        <v>538</v>
      </c>
      <c r="F22" s="14" t="s">
        <v>606</v>
      </c>
      <c r="G22" s="14" t="s">
        <v>607</v>
      </c>
      <c r="H22" s="14" t="s">
        <v>608</v>
      </c>
      <c r="I22" s="14" t="s">
        <v>609</v>
      </c>
      <c r="J22" s="17" t="s">
        <v>24</v>
      </c>
      <c r="K22" s="20" t="s">
        <v>529</v>
      </c>
      <c r="L22" s="18"/>
      <c r="M22" s="20"/>
      <c r="N22" s="18"/>
      <c r="O22" s="20"/>
      <c r="P22" s="14" t="s">
        <v>610</v>
      </c>
    </row>
    <row r="23" customFormat="false" ht="57.45" hidden="false" customHeight="false" outlineLevel="0" collapsed="false">
      <c r="A23" s="7" t="s">
        <v>359</v>
      </c>
      <c r="B23" s="11" t="s">
        <v>97</v>
      </c>
      <c r="C23" s="11" t="s">
        <v>115</v>
      </c>
      <c r="D23" s="14" t="s">
        <v>355</v>
      </c>
      <c r="E23" s="14" t="s">
        <v>524</v>
      </c>
      <c r="F23" s="14" t="s">
        <v>611</v>
      </c>
      <c r="G23" s="14" t="s">
        <v>612</v>
      </c>
      <c r="H23" s="14" t="s">
        <v>613</v>
      </c>
      <c r="I23" s="14" t="s">
        <v>614</v>
      </c>
      <c r="J23" s="17" t="s">
        <v>24</v>
      </c>
      <c r="K23" s="20" t="s">
        <v>529</v>
      </c>
      <c r="L23" s="18"/>
      <c r="M23" s="20"/>
      <c r="N23" s="18"/>
      <c r="O23" s="20"/>
      <c r="P23" s="14" t="s">
        <v>615</v>
      </c>
    </row>
    <row r="24" customFormat="false" ht="15" hidden="false" customHeight="false" outlineLevel="0" collapsed="false">
      <c r="A24" s="3" t="s">
        <v>616</v>
      </c>
      <c r="B24" s="20"/>
      <c r="C24" s="20"/>
      <c r="D24" s="18"/>
      <c r="E24" s="18"/>
      <c r="F24" s="18"/>
      <c r="G24" s="18"/>
      <c r="H24" s="18"/>
      <c r="I24" s="18"/>
      <c r="J24" s="20"/>
      <c r="K24" s="20"/>
      <c r="L24" s="18"/>
      <c r="M24" s="20"/>
      <c r="N24" s="18"/>
      <c r="O24" s="20"/>
      <c r="P24" s="14"/>
    </row>
    <row r="25" customFormat="false" ht="15" hidden="false" customHeight="false" outlineLevel="0" collapsed="false">
      <c r="A25" s="3" t="s">
        <v>617</v>
      </c>
      <c r="B25" s="20"/>
      <c r="C25" s="20"/>
      <c r="D25" s="18"/>
      <c r="E25" s="18"/>
      <c r="F25" s="18"/>
      <c r="G25" s="18"/>
      <c r="H25" s="18"/>
      <c r="I25" s="18"/>
      <c r="J25" s="20"/>
      <c r="K25" s="20"/>
      <c r="L25" s="18"/>
      <c r="M25" s="20"/>
      <c r="N25" s="18"/>
      <c r="O25" s="20"/>
      <c r="P25" s="14"/>
    </row>
    <row r="26" customFormat="false" ht="15" hidden="false" customHeight="false" outlineLevel="0" collapsed="false">
      <c r="A26" s="3" t="s">
        <v>618</v>
      </c>
      <c r="B26" s="20"/>
      <c r="C26" s="20"/>
      <c r="D26" s="18"/>
      <c r="E26" s="18"/>
      <c r="F26" s="18"/>
      <c r="G26" s="18"/>
      <c r="H26" s="18"/>
      <c r="I26" s="18"/>
      <c r="J26" s="20"/>
      <c r="K26" s="20"/>
      <c r="L26" s="18"/>
      <c r="M26" s="20"/>
      <c r="N26" s="18"/>
      <c r="O26" s="20"/>
      <c r="P26" s="14"/>
    </row>
    <row r="27" customFormat="false" ht="15" hidden="false" customHeight="false" outlineLevel="0" collapsed="false">
      <c r="A27" s="3" t="s">
        <v>619</v>
      </c>
      <c r="B27" s="20"/>
      <c r="C27" s="20"/>
      <c r="D27" s="18"/>
      <c r="E27" s="18"/>
      <c r="F27" s="18"/>
      <c r="G27" s="18"/>
      <c r="H27" s="18"/>
      <c r="I27" s="18"/>
      <c r="J27" s="20"/>
      <c r="K27" s="20"/>
      <c r="L27" s="18"/>
      <c r="M27" s="20"/>
      <c r="N27" s="18"/>
      <c r="O27" s="20"/>
      <c r="P27" s="14"/>
    </row>
    <row r="28" customFormat="false" ht="15" hidden="false" customHeight="false" outlineLevel="0" collapsed="false">
      <c r="A28" s="3" t="s">
        <v>620</v>
      </c>
      <c r="B28" s="20"/>
      <c r="C28" s="20"/>
      <c r="D28" s="18"/>
      <c r="E28" s="18"/>
      <c r="F28" s="18"/>
      <c r="G28" s="18"/>
      <c r="H28" s="18"/>
      <c r="I28" s="18"/>
      <c r="J28" s="20"/>
      <c r="K28" s="20"/>
      <c r="L28" s="18"/>
      <c r="M28" s="20"/>
      <c r="N28" s="18"/>
      <c r="O28" s="20"/>
      <c r="P28" s="14"/>
    </row>
    <row r="29" customFormat="false" ht="15" hidden="false" customHeight="false" outlineLevel="0" collapsed="false">
      <c r="A29" s="3" t="s">
        <v>621</v>
      </c>
      <c r="B29" s="20"/>
      <c r="C29" s="20"/>
      <c r="D29" s="18"/>
      <c r="E29" s="18"/>
      <c r="F29" s="18"/>
      <c r="G29" s="18"/>
      <c r="H29" s="18"/>
      <c r="I29" s="18"/>
      <c r="J29" s="20"/>
      <c r="K29" s="20"/>
      <c r="L29" s="18"/>
      <c r="M29" s="20"/>
      <c r="N29" s="18"/>
      <c r="O29" s="20"/>
      <c r="P29" s="14"/>
    </row>
    <row r="30" customFormat="false" ht="15" hidden="false" customHeight="false" outlineLevel="0" collapsed="false">
      <c r="A30" s="3" t="s">
        <v>622</v>
      </c>
      <c r="B30" s="20"/>
      <c r="C30" s="20"/>
      <c r="D30" s="18"/>
      <c r="E30" s="18"/>
      <c r="F30" s="18"/>
      <c r="G30" s="18"/>
      <c r="H30" s="18"/>
      <c r="I30" s="18"/>
      <c r="J30" s="20"/>
      <c r="K30" s="20"/>
      <c r="L30" s="18"/>
      <c r="M30" s="20"/>
      <c r="N30" s="18"/>
      <c r="O30" s="20"/>
      <c r="P30" s="14"/>
    </row>
    <row r="31" customFormat="false" ht="15" hidden="false" customHeight="false" outlineLevel="0" collapsed="false">
      <c r="A31" s="3" t="s">
        <v>623</v>
      </c>
      <c r="B31" s="20"/>
      <c r="C31" s="20"/>
      <c r="D31" s="18"/>
      <c r="E31" s="18"/>
      <c r="F31" s="18"/>
      <c r="G31" s="18"/>
      <c r="H31" s="18"/>
      <c r="I31" s="18"/>
      <c r="J31" s="20"/>
      <c r="K31" s="20"/>
      <c r="L31" s="18"/>
      <c r="M31" s="20"/>
      <c r="N31" s="18"/>
      <c r="O31" s="20"/>
      <c r="P31" s="14"/>
    </row>
    <row r="32" customFormat="false" ht="15" hidden="false" customHeight="false" outlineLevel="0" collapsed="false">
      <c r="A32" s="3" t="s">
        <v>624</v>
      </c>
      <c r="B32" s="20"/>
      <c r="C32" s="20"/>
      <c r="D32" s="18"/>
      <c r="E32" s="18"/>
      <c r="F32" s="18"/>
      <c r="G32" s="18"/>
      <c r="H32" s="18"/>
      <c r="I32" s="18"/>
      <c r="J32" s="20"/>
      <c r="K32" s="20"/>
      <c r="L32" s="18"/>
      <c r="M32" s="20"/>
      <c r="N32" s="18"/>
      <c r="O32" s="20"/>
      <c r="P32" s="14"/>
    </row>
    <row r="33" customFormat="false" ht="15" hidden="false" customHeight="false" outlineLevel="0" collapsed="false">
      <c r="A33" s="3" t="s">
        <v>625</v>
      </c>
      <c r="B33" s="20"/>
      <c r="C33" s="20"/>
      <c r="D33" s="18"/>
      <c r="E33" s="18"/>
      <c r="F33" s="18"/>
      <c r="G33" s="18"/>
      <c r="H33" s="18"/>
      <c r="I33" s="18"/>
      <c r="J33" s="20"/>
      <c r="K33" s="20"/>
      <c r="L33" s="18"/>
      <c r="M33" s="20"/>
      <c r="N33" s="18"/>
      <c r="O33" s="20"/>
      <c r="P33" s="14"/>
    </row>
    <row r="34" customFormat="false" ht="15" hidden="false" customHeight="false" outlineLevel="0" collapsed="false">
      <c r="A34" s="3" t="s">
        <v>626</v>
      </c>
      <c r="B34" s="20"/>
      <c r="C34" s="20"/>
      <c r="D34" s="18"/>
      <c r="E34" s="18"/>
      <c r="F34" s="18"/>
      <c r="G34" s="18"/>
      <c r="H34" s="18"/>
      <c r="I34" s="18"/>
      <c r="J34" s="20"/>
      <c r="K34" s="20"/>
      <c r="L34" s="18"/>
      <c r="M34" s="20"/>
      <c r="N34" s="18"/>
      <c r="O34" s="20"/>
      <c r="P34" s="14"/>
    </row>
    <row r="35" customFormat="false" ht="15" hidden="false" customHeight="false" outlineLevel="0" collapsed="false">
      <c r="A35" s="3" t="s">
        <v>627</v>
      </c>
      <c r="B35" s="20"/>
      <c r="C35" s="20"/>
      <c r="D35" s="18"/>
      <c r="E35" s="18"/>
      <c r="F35" s="18"/>
      <c r="G35" s="18"/>
      <c r="H35" s="18"/>
      <c r="I35" s="18"/>
      <c r="J35" s="20"/>
      <c r="K35" s="20"/>
      <c r="L35" s="18"/>
      <c r="M35" s="20"/>
      <c r="N35" s="18"/>
      <c r="O35" s="20"/>
      <c r="P35" s="14"/>
    </row>
    <row r="36" customFormat="false" ht="15" hidden="false" customHeight="false" outlineLevel="0" collapsed="false">
      <c r="A36" s="3" t="s">
        <v>628</v>
      </c>
      <c r="B36" s="20"/>
      <c r="C36" s="20"/>
      <c r="D36" s="18"/>
      <c r="E36" s="18"/>
      <c r="F36" s="18"/>
      <c r="G36" s="18"/>
      <c r="H36" s="18"/>
      <c r="I36" s="18"/>
      <c r="J36" s="20"/>
      <c r="K36" s="20"/>
      <c r="L36" s="18"/>
      <c r="M36" s="20"/>
      <c r="N36" s="18"/>
      <c r="O36" s="20"/>
      <c r="P36" s="14"/>
    </row>
    <row r="37" customFormat="false" ht="15" hidden="false" customHeight="false" outlineLevel="0" collapsed="false">
      <c r="A37" s="3" t="s">
        <v>629</v>
      </c>
      <c r="B37" s="20"/>
      <c r="C37" s="20"/>
      <c r="D37" s="18"/>
      <c r="E37" s="18"/>
      <c r="F37" s="18"/>
      <c r="G37" s="18"/>
      <c r="H37" s="18"/>
      <c r="I37" s="18"/>
      <c r="J37" s="20"/>
      <c r="K37" s="20"/>
      <c r="L37" s="18"/>
      <c r="M37" s="20"/>
      <c r="N37" s="18"/>
      <c r="O37" s="20"/>
      <c r="P37" s="14"/>
    </row>
    <row r="38" customFormat="false" ht="15" hidden="false" customHeight="false" outlineLevel="0" collapsed="false">
      <c r="A38" s="3" t="s">
        <v>630</v>
      </c>
      <c r="B38" s="20"/>
      <c r="C38" s="20"/>
      <c r="D38" s="18"/>
      <c r="E38" s="18"/>
      <c r="F38" s="18"/>
      <c r="G38" s="18"/>
      <c r="H38" s="18"/>
      <c r="I38" s="18"/>
      <c r="J38" s="20"/>
      <c r="K38" s="20"/>
      <c r="L38" s="18"/>
      <c r="M38" s="20"/>
      <c r="N38" s="18"/>
      <c r="O38" s="20"/>
      <c r="P38" s="14"/>
    </row>
  </sheetData>
  <autoFilter ref="A4:P38"/>
  <conditionalFormatting sqref="J5:J38">
    <cfRule type="cellIs" priority="2" operator="equal" aboveAverage="0" equalAverage="0" bottom="0" percent="0" rank="0" text="" dxfId="1">
      <formula>"Alta"</formula>
    </cfRule>
    <cfRule type="cellIs" priority="3" operator="equal" aboveAverage="0" equalAverage="0" bottom="0" percent="0" rank="0" text="" dxfId="1">
      <formula>"Crítica"</formula>
    </cfRule>
  </conditionalFormatting>
  <conditionalFormatting sqref="K5:K38">
    <cfRule type="cellIs" priority="4" operator="equal" aboveAverage="0" equalAverage="0" bottom="0" percent="0" rank="0" text="" dxfId="0">
      <formula>"Cerrada"</formula>
    </cfRule>
  </conditionalFormatting>
  <dataValidations count="3">
    <dataValidation allowBlank="true" errorStyle="stop" operator="between" showDropDown="false" showErrorMessage="false" showInputMessage="false" sqref="J5:J38" type="list">
      <formula1>"Crítica,Alta,Media,Baja"</formula1>
      <formula2>0</formula2>
    </dataValidation>
    <dataValidation allowBlank="true" errorStyle="stop" operator="between" showDropDown="false" showErrorMessage="false" showInputMessage="false" sqref="K5:K38" type="list">
      <formula1>"Abierta,En corrección,Corregida,Verificada,Cerrada,Aceptada"</formula1>
      <formula2>0</formula2>
    </dataValidation>
    <dataValidation allowBlank="true" errorStyle="stop" operator="between" showDropDown="false" showErrorMessage="false" showInputMessage="false" sqref="E5:E38" type="list">
      <formula1>"Defecto de la aplicación,Defecto de prueba"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6"/>
    <col collapsed="false" customWidth="true" hidden="false" outlineLevel="0" max="10" min="3" style="0" width="10"/>
    <col collapsed="false" customWidth="true" hidden="false" outlineLevel="0" max="14" min="11" style="0" width="11"/>
  </cols>
  <sheetData>
    <row r="1" customFormat="false" ht="17.35" hidden="false" customHeight="false" outlineLevel="0" collapsed="false">
      <c r="A1" s="1" t="s">
        <v>631</v>
      </c>
    </row>
    <row r="2" customFormat="false" ht="15" hidden="false" customHeight="false" outlineLevel="0" collapsed="false">
      <c r="A2" s="12" t="s">
        <v>632</v>
      </c>
    </row>
    <row r="4" customFormat="false" ht="35.05" hidden="false" customHeight="false" outlineLevel="0" collapsed="false">
      <c r="A4" s="13" t="s">
        <v>633</v>
      </c>
      <c r="B4" s="13" t="s">
        <v>634</v>
      </c>
      <c r="C4" s="13" t="s">
        <v>635</v>
      </c>
      <c r="D4" s="13" t="s">
        <v>636</v>
      </c>
      <c r="E4" s="13" t="s">
        <v>637</v>
      </c>
      <c r="F4" s="13" t="s">
        <v>638</v>
      </c>
      <c r="G4" s="13" t="s">
        <v>639</v>
      </c>
      <c r="H4" s="13" t="s">
        <v>640</v>
      </c>
      <c r="I4" s="13" t="s">
        <v>641</v>
      </c>
      <c r="J4" s="13" t="s">
        <v>642</v>
      </c>
      <c r="K4" s="13" t="s">
        <v>643</v>
      </c>
      <c r="L4" s="13" t="s">
        <v>644</v>
      </c>
      <c r="M4" s="13" t="s">
        <v>645</v>
      </c>
      <c r="N4" s="13" t="s">
        <v>646</v>
      </c>
    </row>
    <row r="5" customFormat="false" ht="15" hidden="false" customHeight="false" outlineLevel="0" collapsed="false">
      <c r="A5" s="11" t="n">
        <v>1</v>
      </c>
      <c r="B5" s="14" t="s">
        <v>647</v>
      </c>
      <c r="C5" s="11" t="n">
        <v>2</v>
      </c>
      <c r="D5" s="11" t="n">
        <v>2</v>
      </c>
      <c r="E5" s="11" t="n">
        <v>0</v>
      </c>
      <c r="F5" s="11" t="n">
        <v>0</v>
      </c>
      <c r="G5" s="11" t="n">
        <v>0</v>
      </c>
      <c r="H5" s="11" t="n">
        <v>0</v>
      </c>
      <c r="I5" s="11" t="n">
        <v>2</v>
      </c>
      <c r="J5" s="11" t="n">
        <v>2</v>
      </c>
      <c r="K5" s="19" t="n">
        <f aca="false">IF(D5=0,"",C5/D5)</f>
        <v>1</v>
      </c>
      <c r="L5" s="19" t="str">
        <f aca="false">IF(F5=0,"",E5/F5)</f>
        <v/>
      </c>
      <c r="M5" s="19" t="str">
        <f aca="false">IF(H5=0,"",G5/H5)</f>
        <v/>
      </c>
      <c r="N5" s="19" t="n">
        <f aca="false">IF(J5=0,"",I5/J5)</f>
        <v>1</v>
      </c>
    </row>
    <row r="6" customFormat="false" ht="15" hidden="false" customHeight="false" outlineLevel="0" collapsed="false">
      <c r="A6" s="11" t="n">
        <v>1</v>
      </c>
      <c r="B6" s="14" t="s">
        <v>648</v>
      </c>
      <c r="C6" s="11" t="n">
        <v>1</v>
      </c>
      <c r="D6" s="11" t="n">
        <v>1</v>
      </c>
      <c r="E6" s="11" t="n">
        <v>0</v>
      </c>
      <c r="F6" s="11" t="n">
        <v>0</v>
      </c>
      <c r="G6" s="11" t="n">
        <v>1</v>
      </c>
      <c r="H6" s="11" t="n">
        <v>1</v>
      </c>
      <c r="I6" s="11" t="n">
        <v>1</v>
      </c>
      <c r="J6" s="11" t="n">
        <v>1</v>
      </c>
      <c r="K6" s="19" t="n">
        <f aca="false">IF(D6=0,"",C6/D6)</f>
        <v>1</v>
      </c>
      <c r="L6" s="19" t="str">
        <f aca="false">IF(F6=0,"",E6/F6)</f>
        <v/>
      </c>
      <c r="M6" s="19" t="n">
        <f aca="false">IF(H6=0,"",G6/H6)</f>
        <v>1</v>
      </c>
      <c r="N6" s="19" t="n">
        <f aca="false">IF(J6=0,"",I6/J6)</f>
        <v>1</v>
      </c>
    </row>
    <row r="7" customFormat="false" ht="15" hidden="false" customHeight="false" outlineLevel="0" collapsed="false">
      <c r="A7" s="11" t="n">
        <v>1</v>
      </c>
      <c r="B7" s="14" t="s">
        <v>649</v>
      </c>
      <c r="C7" s="11" t="n">
        <v>14</v>
      </c>
      <c r="D7" s="11" t="n">
        <v>14</v>
      </c>
      <c r="E7" s="11" t="n">
        <v>2</v>
      </c>
      <c r="F7" s="11" t="n">
        <v>2</v>
      </c>
      <c r="G7" s="11" t="n">
        <v>2</v>
      </c>
      <c r="H7" s="11" t="n">
        <v>2</v>
      </c>
      <c r="I7" s="11" t="n">
        <v>12</v>
      </c>
      <c r="J7" s="11" t="n">
        <v>12</v>
      </c>
      <c r="K7" s="19" t="n">
        <f aca="false">IF(D7=0,"",C7/D7)</f>
        <v>1</v>
      </c>
      <c r="L7" s="19" t="n">
        <f aca="false">IF(F7=0,"",E7/F7)</f>
        <v>1</v>
      </c>
      <c r="M7" s="19" t="n">
        <f aca="false">IF(H7=0,"",G7/H7)</f>
        <v>1</v>
      </c>
      <c r="N7" s="19" t="n">
        <f aca="false">IF(J7=0,"",I7/J7)</f>
        <v>1</v>
      </c>
    </row>
    <row r="8" customFormat="false" ht="15" hidden="false" customHeight="false" outlineLevel="0" collapsed="false">
      <c r="A8" s="11" t="n">
        <v>1</v>
      </c>
      <c r="B8" s="14" t="s">
        <v>650</v>
      </c>
      <c r="C8" s="11" t="n">
        <v>146</v>
      </c>
      <c r="D8" s="11" t="n">
        <v>261</v>
      </c>
      <c r="E8" s="11" t="n">
        <v>32</v>
      </c>
      <c r="F8" s="11" t="n">
        <v>80</v>
      </c>
      <c r="G8" s="11" t="n">
        <v>33</v>
      </c>
      <c r="H8" s="11" t="n">
        <v>61</v>
      </c>
      <c r="I8" s="11" t="n">
        <v>118</v>
      </c>
      <c r="J8" s="11" t="n">
        <v>196</v>
      </c>
      <c r="K8" s="19" t="n">
        <f aca="false">IF(D8=0,"",C8/D8)</f>
        <v>0.559386973180077</v>
      </c>
      <c r="L8" s="19" t="n">
        <f aca="false">IF(F8=0,"",E8/F8)</f>
        <v>0.4</v>
      </c>
      <c r="M8" s="19" t="n">
        <f aca="false">IF(H8=0,"",G8/H8)</f>
        <v>0.540983606557377</v>
      </c>
      <c r="N8" s="19" t="n">
        <f aca="false">IF(J8=0,"",I8/J8)</f>
        <v>0.602040816326531</v>
      </c>
    </row>
    <row r="9" customFormat="false" ht="15" hidden="false" customHeight="false" outlineLevel="0" collapsed="false">
      <c r="A9" s="11" t="n">
        <v>1</v>
      </c>
      <c r="B9" s="14" t="s">
        <v>651</v>
      </c>
      <c r="C9" s="11" t="n">
        <v>28</v>
      </c>
      <c r="D9" s="11" t="n">
        <v>50</v>
      </c>
      <c r="E9" s="11" t="n">
        <v>11</v>
      </c>
      <c r="F9" s="11" t="n">
        <v>16</v>
      </c>
      <c r="G9" s="11" t="n">
        <v>5</v>
      </c>
      <c r="H9" s="11" t="n">
        <v>7</v>
      </c>
      <c r="I9" s="11" t="n">
        <v>25</v>
      </c>
      <c r="J9" s="11" t="n">
        <v>44</v>
      </c>
      <c r="K9" s="19" t="n">
        <f aca="false">IF(D9=0,"",C9/D9)</f>
        <v>0.56</v>
      </c>
      <c r="L9" s="19" t="n">
        <f aca="false">IF(F9=0,"",E9/F9)</f>
        <v>0.6875</v>
      </c>
      <c r="M9" s="19" t="n">
        <f aca="false">IF(H9=0,"",G9/H9)</f>
        <v>0.714285714285714</v>
      </c>
      <c r="N9" s="19" t="n">
        <f aca="false">IF(J9=0,"",I9/J9)</f>
        <v>0.568181818181818</v>
      </c>
    </row>
    <row r="10" customFormat="false" ht="15" hidden="false" customHeight="false" outlineLevel="0" collapsed="false">
      <c r="A10" s="11" t="n">
        <v>1</v>
      </c>
      <c r="B10" s="14" t="s">
        <v>652</v>
      </c>
      <c r="C10" s="11" t="n">
        <v>54</v>
      </c>
      <c r="D10" s="11" t="n">
        <v>182</v>
      </c>
      <c r="E10" s="11" t="n">
        <v>21</v>
      </c>
      <c r="F10" s="11" t="n">
        <v>74</v>
      </c>
      <c r="G10" s="11" t="n">
        <v>8</v>
      </c>
      <c r="H10" s="11" t="n">
        <v>39</v>
      </c>
      <c r="I10" s="11" t="n">
        <v>53</v>
      </c>
      <c r="J10" s="11" t="n">
        <v>167</v>
      </c>
      <c r="K10" s="19" t="n">
        <f aca="false">IF(D10=0,"",C10/D10)</f>
        <v>0.296703296703297</v>
      </c>
      <c r="L10" s="19" t="n">
        <f aca="false">IF(F10=0,"",E10/F10)</f>
        <v>0.283783783783784</v>
      </c>
      <c r="M10" s="19" t="n">
        <f aca="false">IF(H10=0,"",G10/H10)</f>
        <v>0.205128205128205</v>
      </c>
      <c r="N10" s="19" t="n">
        <f aca="false">IF(J10=0,"",I10/J10)</f>
        <v>0.317365269461078</v>
      </c>
    </row>
    <row r="11" customFormat="false" ht="15" hidden="false" customHeight="false" outlineLevel="0" collapsed="false">
      <c r="A11" s="11" t="n">
        <v>1</v>
      </c>
      <c r="B11" s="14" t="s">
        <v>653</v>
      </c>
      <c r="C11" s="11" t="n">
        <v>1</v>
      </c>
      <c r="D11" s="11" t="n">
        <v>26</v>
      </c>
      <c r="E11" s="11" t="n">
        <v>0</v>
      </c>
      <c r="F11" s="11" t="n">
        <v>11</v>
      </c>
      <c r="G11" s="11" t="n">
        <v>0</v>
      </c>
      <c r="H11" s="11" t="n">
        <v>7</v>
      </c>
      <c r="I11" s="11" t="n">
        <v>1</v>
      </c>
      <c r="J11" s="11" t="n">
        <v>23</v>
      </c>
      <c r="K11" s="19" t="n">
        <f aca="false">IF(D11=0,"",C11/D11)</f>
        <v>0.0384615384615385</v>
      </c>
      <c r="L11" s="19" t="n">
        <f aca="false">IF(F11=0,"",E11/F11)</f>
        <v>0</v>
      </c>
      <c r="M11" s="19" t="n">
        <f aca="false">IF(H11=0,"",G11/H11)</f>
        <v>0</v>
      </c>
      <c r="N11" s="19" t="n">
        <f aca="false">IF(J11=0,"",I11/J11)</f>
        <v>0.0434782608695652</v>
      </c>
    </row>
    <row r="12" customFormat="false" ht="15" hidden="false" customHeight="false" outlineLevel="0" collapsed="false">
      <c r="A12" s="11" t="n">
        <v>1</v>
      </c>
      <c r="B12" s="14" t="s">
        <v>654</v>
      </c>
      <c r="C12" s="11" t="n">
        <v>8</v>
      </c>
      <c r="D12" s="11" t="n">
        <v>18</v>
      </c>
      <c r="E12" s="11" t="n">
        <v>0</v>
      </c>
      <c r="F12" s="11" t="n">
        <v>3</v>
      </c>
      <c r="G12" s="11" t="n">
        <v>1</v>
      </c>
      <c r="H12" s="11" t="n">
        <v>3</v>
      </c>
      <c r="I12" s="11" t="n">
        <v>8</v>
      </c>
      <c r="J12" s="11" t="n">
        <v>17</v>
      </c>
      <c r="K12" s="19" t="n">
        <f aca="false">IF(D12=0,"",C12/D12)</f>
        <v>0.444444444444444</v>
      </c>
      <c r="L12" s="19" t="n">
        <f aca="false">IF(F12=0,"",E12/F12)</f>
        <v>0</v>
      </c>
      <c r="M12" s="19" t="n">
        <f aca="false">IF(H12=0,"",G12/H12)</f>
        <v>0.333333333333333</v>
      </c>
      <c r="N12" s="19" t="n">
        <f aca="false">IF(J12=0,"",I12/J12)</f>
        <v>0.470588235294118</v>
      </c>
    </row>
    <row r="13" customFormat="false" ht="15" hidden="false" customHeight="false" outlineLevel="0" collapsed="false">
      <c r="A13" s="11" t="n">
        <v>1</v>
      </c>
      <c r="B13" s="14" t="s">
        <v>655</v>
      </c>
      <c r="C13" s="11" t="n">
        <v>17</v>
      </c>
      <c r="D13" s="11" t="n">
        <v>42</v>
      </c>
      <c r="E13" s="11" t="n">
        <v>0</v>
      </c>
      <c r="F13" s="11" t="n">
        <v>16</v>
      </c>
      <c r="G13" s="11" t="n">
        <v>1</v>
      </c>
      <c r="H13" s="11" t="n">
        <v>10</v>
      </c>
      <c r="I13" s="11" t="n">
        <v>16</v>
      </c>
      <c r="J13" s="11" t="n">
        <v>39</v>
      </c>
      <c r="K13" s="19" t="n">
        <f aca="false">IF(D13=0,"",C13/D13)</f>
        <v>0.404761904761905</v>
      </c>
      <c r="L13" s="19" t="n">
        <f aca="false">IF(F13=0,"",E13/F13)</f>
        <v>0</v>
      </c>
      <c r="M13" s="19" t="n">
        <f aca="false">IF(H13=0,"",G13/H13)</f>
        <v>0.1</v>
      </c>
      <c r="N13" s="19" t="n">
        <f aca="false">IF(J13=0,"",I13/J13)</f>
        <v>0.41025641025641</v>
      </c>
    </row>
    <row r="14" customFormat="false" ht="15" hidden="false" customHeight="false" outlineLevel="0" collapsed="false">
      <c r="A14" s="11" t="n">
        <v>1</v>
      </c>
      <c r="B14" s="14" t="s">
        <v>656</v>
      </c>
      <c r="C14" s="11" t="n">
        <v>16</v>
      </c>
      <c r="D14" s="11" t="n">
        <v>29</v>
      </c>
      <c r="E14" s="11" t="n">
        <v>3</v>
      </c>
      <c r="F14" s="11" t="n">
        <v>11</v>
      </c>
      <c r="G14" s="11" t="n">
        <v>3</v>
      </c>
      <c r="H14" s="11" t="n">
        <v>6</v>
      </c>
      <c r="I14" s="11" t="n">
        <v>15</v>
      </c>
      <c r="J14" s="11" t="n">
        <v>27</v>
      </c>
      <c r="K14" s="19" t="n">
        <f aca="false">IF(D14=0,"",C14/D14)</f>
        <v>0.551724137931035</v>
      </c>
      <c r="L14" s="19" t="n">
        <f aca="false">IF(F14=0,"",E14/F14)</f>
        <v>0.272727272727273</v>
      </c>
      <c r="M14" s="19" t="n">
        <f aca="false">IF(H14=0,"",G14/H14)</f>
        <v>0.5</v>
      </c>
      <c r="N14" s="19" t="n">
        <f aca="false">IF(J14=0,"",I14/J14)</f>
        <v>0.555555555555556</v>
      </c>
    </row>
    <row r="15" customFormat="false" ht="15" hidden="false" customHeight="false" outlineLevel="0" collapsed="false">
      <c r="A15" s="11" t="n">
        <v>1</v>
      </c>
      <c r="B15" s="14" t="s">
        <v>657</v>
      </c>
      <c r="C15" s="11" t="n">
        <v>102</v>
      </c>
      <c r="D15" s="11" t="n">
        <v>151</v>
      </c>
      <c r="E15" s="11" t="n">
        <v>21</v>
      </c>
      <c r="F15" s="11" t="n">
        <v>46</v>
      </c>
      <c r="G15" s="11" t="n">
        <v>16</v>
      </c>
      <c r="H15" s="11" t="n">
        <v>31</v>
      </c>
      <c r="I15" s="11" t="n">
        <v>99</v>
      </c>
      <c r="J15" s="11" t="n">
        <v>144</v>
      </c>
      <c r="K15" s="19" t="n">
        <f aca="false">IF(D15=0,"",C15/D15)</f>
        <v>0.675496688741722</v>
      </c>
      <c r="L15" s="19" t="n">
        <f aca="false">IF(F15=0,"",E15/F15)</f>
        <v>0.456521739130435</v>
      </c>
      <c r="M15" s="19" t="n">
        <f aca="false">IF(H15=0,"",G15/H15)</f>
        <v>0.516129032258065</v>
      </c>
      <c r="N15" s="19" t="n">
        <f aca="false">IF(J15=0,"",I15/J15)</f>
        <v>0.6875</v>
      </c>
    </row>
    <row r="16" customFormat="false" ht="15" hidden="false" customHeight="false" outlineLevel="0" collapsed="false">
      <c r="A16" s="11" t="n">
        <v>1</v>
      </c>
      <c r="B16" s="14" t="s">
        <v>658</v>
      </c>
      <c r="C16" s="11" t="n">
        <v>16</v>
      </c>
      <c r="D16" s="11" t="n">
        <v>46</v>
      </c>
      <c r="E16" s="11" t="n">
        <v>0</v>
      </c>
      <c r="F16" s="11" t="n">
        <v>15</v>
      </c>
      <c r="G16" s="11" t="n">
        <v>1</v>
      </c>
      <c r="H16" s="11" t="n">
        <v>15</v>
      </c>
      <c r="I16" s="11" t="n">
        <v>16</v>
      </c>
      <c r="J16" s="11" t="n">
        <v>45</v>
      </c>
      <c r="K16" s="19" t="n">
        <f aca="false">IF(D16=0,"",C16/D16)</f>
        <v>0.347826086956522</v>
      </c>
      <c r="L16" s="19" t="n">
        <f aca="false">IF(F16=0,"",E16/F16)</f>
        <v>0</v>
      </c>
      <c r="M16" s="19" t="n">
        <f aca="false">IF(H16=0,"",G16/H16)</f>
        <v>0.0666666666666667</v>
      </c>
      <c r="N16" s="19" t="n">
        <f aca="false">IF(J16=0,"",I16/J16)</f>
        <v>0.355555555555556</v>
      </c>
    </row>
    <row r="17" customFormat="false" ht="15" hidden="false" customHeight="false" outlineLevel="0" collapsed="false">
      <c r="A17" s="11" t="n">
        <v>1</v>
      </c>
      <c r="B17" s="14" t="s">
        <v>659</v>
      </c>
      <c r="C17" s="11" t="n">
        <v>37</v>
      </c>
      <c r="D17" s="11" t="n">
        <v>41</v>
      </c>
      <c r="E17" s="11" t="n">
        <v>12</v>
      </c>
      <c r="F17" s="11" t="n">
        <v>21</v>
      </c>
      <c r="G17" s="11" t="n">
        <v>9</v>
      </c>
      <c r="H17" s="11" t="n">
        <v>11</v>
      </c>
      <c r="I17" s="11" t="n">
        <v>34</v>
      </c>
      <c r="J17" s="11" t="n">
        <v>37</v>
      </c>
      <c r="K17" s="19" t="n">
        <f aca="false">IF(D17=0,"",C17/D17)</f>
        <v>0.902439024390244</v>
      </c>
      <c r="L17" s="19" t="n">
        <f aca="false">IF(F17=0,"",E17/F17)</f>
        <v>0.571428571428571</v>
      </c>
      <c r="M17" s="19" t="n">
        <f aca="false">IF(H17=0,"",G17/H17)</f>
        <v>0.818181818181818</v>
      </c>
      <c r="N17" s="19" t="n">
        <f aca="false">IF(J17=0,"",I17/J17)</f>
        <v>0.918918918918919</v>
      </c>
    </row>
    <row r="18" customFormat="false" ht="15" hidden="false" customHeight="false" outlineLevel="0" collapsed="false">
      <c r="A18" s="11" t="n">
        <v>1</v>
      </c>
      <c r="B18" s="14" t="s">
        <v>660</v>
      </c>
      <c r="C18" s="11" t="n">
        <v>21</v>
      </c>
      <c r="D18" s="11" t="n">
        <v>33</v>
      </c>
      <c r="E18" s="11" t="n">
        <v>3</v>
      </c>
      <c r="F18" s="11" t="n">
        <v>6</v>
      </c>
      <c r="G18" s="11" t="n">
        <v>5</v>
      </c>
      <c r="H18" s="11" t="n">
        <v>11</v>
      </c>
      <c r="I18" s="11" t="n">
        <v>21</v>
      </c>
      <c r="J18" s="11" t="n">
        <v>33</v>
      </c>
      <c r="K18" s="19" t="n">
        <f aca="false">IF(D18=0,"",C18/D18)</f>
        <v>0.636363636363636</v>
      </c>
      <c r="L18" s="19" t="n">
        <f aca="false">IF(F18=0,"",E18/F18)</f>
        <v>0.5</v>
      </c>
      <c r="M18" s="19" t="n">
        <f aca="false">IF(H18=0,"",G18/H18)</f>
        <v>0.454545454545455</v>
      </c>
      <c r="N18" s="19" t="n">
        <f aca="false">IF(J18=0,"",I18/J18)</f>
        <v>0.636363636363636</v>
      </c>
    </row>
    <row r="19" customFormat="false" ht="15" hidden="false" customHeight="false" outlineLevel="0" collapsed="false">
      <c r="A19" s="11" t="n">
        <v>1</v>
      </c>
      <c r="B19" s="14" t="s">
        <v>661</v>
      </c>
      <c r="C19" s="11" t="n">
        <v>45</v>
      </c>
      <c r="D19" s="11" t="n">
        <v>145</v>
      </c>
      <c r="E19" s="11" t="n">
        <v>0</v>
      </c>
      <c r="F19" s="11" t="n">
        <v>37</v>
      </c>
      <c r="G19" s="11" t="n">
        <v>11</v>
      </c>
      <c r="H19" s="11" t="n">
        <v>38</v>
      </c>
      <c r="I19" s="11" t="n">
        <v>42</v>
      </c>
      <c r="J19" s="11" t="n">
        <v>136</v>
      </c>
      <c r="K19" s="19" t="n">
        <f aca="false">IF(D19=0,"",C19/D19)</f>
        <v>0.310344827586207</v>
      </c>
      <c r="L19" s="19" t="n">
        <f aca="false">IF(F19=0,"",E19/F19)</f>
        <v>0</v>
      </c>
      <c r="M19" s="19" t="n">
        <f aca="false">IF(H19=0,"",G19/H19)</f>
        <v>0.289473684210526</v>
      </c>
      <c r="N19" s="19" t="n">
        <f aca="false">IF(J19=0,"",I19/J19)</f>
        <v>0.308823529411765</v>
      </c>
    </row>
    <row r="20" customFormat="false" ht="15" hidden="false" customHeight="false" outlineLevel="0" collapsed="false">
      <c r="A20" s="11" t="n">
        <v>1</v>
      </c>
      <c r="B20" s="14" t="s">
        <v>662</v>
      </c>
      <c r="C20" s="11" t="n">
        <v>28</v>
      </c>
      <c r="D20" s="11" t="n">
        <v>120</v>
      </c>
      <c r="E20" s="11" t="n">
        <v>0</v>
      </c>
      <c r="F20" s="11" t="n">
        <v>35</v>
      </c>
      <c r="G20" s="11" t="n">
        <v>1</v>
      </c>
      <c r="H20" s="11" t="n">
        <v>29</v>
      </c>
      <c r="I20" s="11" t="n">
        <v>28</v>
      </c>
      <c r="J20" s="11" t="n">
        <v>117</v>
      </c>
      <c r="K20" s="19" t="n">
        <f aca="false">IF(D20=0,"",C20/D20)</f>
        <v>0.233333333333333</v>
      </c>
      <c r="L20" s="19" t="n">
        <f aca="false">IF(F20=0,"",E20/F20)</f>
        <v>0</v>
      </c>
      <c r="M20" s="19" t="n">
        <f aca="false">IF(H20=0,"",G20/H20)</f>
        <v>0.0344827586206897</v>
      </c>
      <c r="N20" s="19" t="n">
        <f aca="false">IF(J20=0,"",I20/J20)</f>
        <v>0.239316239316239</v>
      </c>
    </row>
    <row r="21" customFormat="false" ht="15" hidden="false" customHeight="false" outlineLevel="0" collapsed="false">
      <c r="A21" s="11" t="n">
        <v>1</v>
      </c>
      <c r="B21" s="14" t="s">
        <v>663</v>
      </c>
      <c r="C21" s="11" t="n">
        <v>20</v>
      </c>
      <c r="D21" s="11" t="n">
        <v>25</v>
      </c>
      <c r="E21" s="11" t="n">
        <v>0</v>
      </c>
      <c r="F21" s="11" t="n">
        <v>4</v>
      </c>
      <c r="G21" s="11" t="n">
        <v>2</v>
      </c>
      <c r="H21" s="11" t="n">
        <v>5</v>
      </c>
      <c r="I21" s="11" t="n">
        <v>20</v>
      </c>
      <c r="J21" s="11" t="n">
        <v>24</v>
      </c>
      <c r="K21" s="19" t="n">
        <f aca="false">IF(D21=0,"",C21/D21)</f>
        <v>0.8</v>
      </c>
      <c r="L21" s="19" t="n">
        <f aca="false">IF(F21=0,"",E21/F21)</f>
        <v>0</v>
      </c>
      <c r="M21" s="19" t="n">
        <f aca="false">IF(H21=0,"",G21/H21)</f>
        <v>0.4</v>
      </c>
      <c r="N21" s="19" t="n">
        <f aca="false">IF(J21=0,"",I21/J21)</f>
        <v>0.833333333333333</v>
      </c>
    </row>
    <row r="22" customFormat="false" ht="15" hidden="false" customHeight="false" outlineLevel="0" collapsed="false">
      <c r="A22" s="11" t="n">
        <v>1</v>
      </c>
      <c r="B22" s="14" t="s">
        <v>664</v>
      </c>
      <c r="C22" s="11" t="n">
        <v>49</v>
      </c>
      <c r="D22" s="11" t="n">
        <v>69</v>
      </c>
      <c r="E22" s="11" t="n">
        <v>3</v>
      </c>
      <c r="F22" s="11" t="n">
        <v>8</v>
      </c>
      <c r="G22" s="11" t="n">
        <v>5</v>
      </c>
      <c r="H22" s="11" t="n">
        <v>18</v>
      </c>
      <c r="I22" s="11" t="n">
        <v>49</v>
      </c>
      <c r="J22" s="11" t="n">
        <v>67</v>
      </c>
      <c r="K22" s="19" t="n">
        <f aca="false">IF(D22=0,"",C22/D22)</f>
        <v>0.710144927536232</v>
      </c>
      <c r="L22" s="19" t="n">
        <f aca="false">IF(F22=0,"",E22/F22)</f>
        <v>0.375</v>
      </c>
      <c r="M22" s="19" t="n">
        <f aca="false">IF(H22=0,"",G22/H22)</f>
        <v>0.277777777777778</v>
      </c>
      <c r="N22" s="19" t="n">
        <f aca="false">IF(J22=0,"",I22/J22)</f>
        <v>0.73134328358209</v>
      </c>
    </row>
    <row r="23" customFormat="false" ht="15" hidden="false" customHeight="false" outlineLevel="0" collapsed="false">
      <c r="A23" s="11" t="n">
        <v>1</v>
      </c>
      <c r="B23" s="14" t="s">
        <v>665</v>
      </c>
      <c r="C23" s="11" t="n">
        <v>4</v>
      </c>
      <c r="D23" s="11" t="n">
        <v>10</v>
      </c>
      <c r="E23" s="11" t="n">
        <v>0</v>
      </c>
      <c r="F23" s="11" t="n">
        <v>4</v>
      </c>
      <c r="G23" s="11" t="n">
        <v>0</v>
      </c>
      <c r="H23" s="11" t="n">
        <v>2</v>
      </c>
      <c r="I23" s="11" t="n">
        <v>4</v>
      </c>
      <c r="J23" s="11" t="n">
        <v>10</v>
      </c>
      <c r="K23" s="19" t="n">
        <f aca="false">IF(D23=0,"",C23/D23)</f>
        <v>0.4</v>
      </c>
      <c r="L23" s="19" t="n">
        <f aca="false">IF(F23=0,"",E23/F23)</f>
        <v>0</v>
      </c>
      <c r="M23" s="19" t="n">
        <f aca="false">IF(H23=0,"",G23/H23)</f>
        <v>0</v>
      </c>
      <c r="N23" s="19" t="n">
        <f aca="false">IF(J23=0,"",I23/J23)</f>
        <v>0.4</v>
      </c>
    </row>
    <row r="24" customFormat="false" ht="15" hidden="false" customHeight="false" outlineLevel="0" collapsed="false">
      <c r="A24" s="11" t="n">
        <v>1</v>
      </c>
      <c r="B24" s="14" t="s">
        <v>666</v>
      </c>
      <c r="C24" s="11" t="n">
        <v>15</v>
      </c>
      <c r="D24" s="11" t="n">
        <v>34</v>
      </c>
      <c r="E24" s="11" t="n">
        <v>4</v>
      </c>
      <c r="F24" s="11" t="n">
        <v>10</v>
      </c>
      <c r="G24" s="11" t="n">
        <v>3</v>
      </c>
      <c r="H24" s="11" t="n">
        <v>7</v>
      </c>
      <c r="I24" s="11" t="n">
        <v>14</v>
      </c>
      <c r="J24" s="11" t="n">
        <v>32</v>
      </c>
      <c r="K24" s="19" t="n">
        <f aca="false">IF(D24=0,"",C24/D24)</f>
        <v>0.441176470588235</v>
      </c>
      <c r="L24" s="19" t="n">
        <f aca="false">IF(F24=0,"",E24/F24)</f>
        <v>0.4</v>
      </c>
      <c r="M24" s="19" t="n">
        <f aca="false">IF(H24=0,"",G24/H24)</f>
        <v>0.428571428571429</v>
      </c>
      <c r="N24" s="19" t="n">
        <f aca="false">IF(J24=0,"",I24/J24)</f>
        <v>0.4375</v>
      </c>
    </row>
    <row r="25" customFormat="false" ht="15" hidden="false" customHeight="false" outlineLevel="0" collapsed="false">
      <c r="A25" s="11" t="n">
        <v>1</v>
      </c>
      <c r="B25" s="14" t="s">
        <v>667</v>
      </c>
      <c r="C25" s="11" t="n">
        <v>20</v>
      </c>
      <c r="D25" s="11" t="n">
        <v>64</v>
      </c>
      <c r="E25" s="11" t="n">
        <v>6</v>
      </c>
      <c r="F25" s="11" t="n">
        <v>14</v>
      </c>
      <c r="G25" s="11" t="n">
        <v>3</v>
      </c>
      <c r="H25" s="11" t="n">
        <v>14</v>
      </c>
      <c r="I25" s="11" t="n">
        <v>19</v>
      </c>
      <c r="J25" s="11" t="n">
        <v>59</v>
      </c>
      <c r="K25" s="19" t="n">
        <f aca="false">IF(D25=0,"",C25/D25)</f>
        <v>0.3125</v>
      </c>
      <c r="L25" s="19" t="n">
        <f aca="false">IF(F25=0,"",E25/F25)</f>
        <v>0.428571428571429</v>
      </c>
      <c r="M25" s="19" t="n">
        <f aca="false">IF(H25=0,"",G25/H25)</f>
        <v>0.214285714285714</v>
      </c>
      <c r="N25" s="19" t="n">
        <f aca="false">IF(J25=0,"",I25/J25)</f>
        <v>0.322033898305085</v>
      </c>
    </row>
    <row r="26" customFormat="false" ht="15" hidden="false" customHeight="false" outlineLevel="0" collapsed="false">
      <c r="A26" s="11" t="n">
        <v>1</v>
      </c>
      <c r="B26" s="14" t="s">
        <v>668</v>
      </c>
      <c r="C26" s="11" t="n">
        <v>1</v>
      </c>
      <c r="D26" s="11" t="n">
        <v>2</v>
      </c>
      <c r="E26" s="11" t="n">
        <v>0</v>
      </c>
      <c r="F26" s="11" t="n">
        <v>0</v>
      </c>
      <c r="G26" s="11" t="n">
        <v>0</v>
      </c>
      <c r="H26" s="11" t="n">
        <v>1</v>
      </c>
      <c r="I26" s="11" t="n">
        <v>1</v>
      </c>
      <c r="J26" s="11" t="n">
        <v>2</v>
      </c>
      <c r="K26" s="19" t="n">
        <f aca="false">IF(D26=0,"",C26/D26)</f>
        <v>0.5</v>
      </c>
      <c r="L26" s="19" t="str">
        <f aca="false">IF(F26=0,"",E26/F26)</f>
        <v/>
      </c>
      <c r="M26" s="19" t="n">
        <f aca="false">IF(H26=0,"",G26/H26)</f>
        <v>0</v>
      </c>
      <c r="N26" s="19" t="n">
        <f aca="false">IF(J26=0,"",I26/J26)</f>
        <v>0.5</v>
      </c>
    </row>
    <row r="27" customFormat="false" ht="15" hidden="false" customHeight="false" outlineLevel="0" collapsed="false">
      <c r="A27" s="11" t="n">
        <v>1</v>
      </c>
      <c r="B27" s="14" t="s">
        <v>669</v>
      </c>
      <c r="C27" s="11" t="n">
        <v>2</v>
      </c>
      <c r="D27" s="11" t="n">
        <v>2</v>
      </c>
      <c r="E27" s="11" t="n">
        <v>0</v>
      </c>
      <c r="F27" s="11" t="n">
        <v>0</v>
      </c>
      <c r="G27" s="11" t="n">
        <v>0</v>
      </c>
      <c r="H27" s="11" t="n">
        <v>0</v>
      </c>
      <c r="I27" s="11" t="n">
        <v>1</v>
      </c>
      <c r="J27" s="11" t="n">
        <v>1</v>
      </c>
      <c r="K27" s="19" t="n">
        <f aca="false">IF(D27=0,"",C27/D27)</f>
        <v>1</v>
      </c>
      <c r="L27" s="19" t="str">
        <f aca="false">IF(F27=0,"",E27/F27)</f>
        <v/>
      </c>
      <c r="M27" s="19" t="str">
        <f aca="false">IF(H27=0,"",G27/H27)</f>
        <v/>
      </c>
      <c r="N27" s="19" t="n">
        <f aca="false">IF(J27=0,"",I27/J27)</f>
        <v>1</v>
      </c>
    </row>
    <row r="28" customFormat="false" ht="15" hidden="false" customHeight="false" outlineLevel="0" collapsed="false">
      <c r="A28" s="11" t="n">
        <v>1</v>
      </c>
      <c r="B28" s="14" t="s">
        <v>670</v>
      </c>
      <c r="C28" s="11" t="n">
        <v>1</v>
      </c>
      <c r="D28" s="11" t="n">
        <v>1</v>
      </c>
      <c r="E28" s="11" t="n">
        <v>0</v>
      </c>
      <c r="F28" s="11" t="n">
        <v>0</v>
      </c>
      <c r="G28" s="11" t="n">
        <v>0</v>
      </c>
      <c r="H28" s="11" t="n">
        <v>0</v>
      </c>
      <c r="I28" s="11" t="n">
        <v>1</v>
      </c>
      <c r="J28" s="11" t="n">
        <v>1</v>
      </c>
      <c r="K28" s="19" t="n">
        <f aca="false">IF(D28=0,"",C28/D28)</f>
        <v>1</v>
      </c>
      <c r="L28" s="19" t="str">
        <f aca="false">IF(F28=0,"",E28/F28)</f>
        <v/>
      </c>
      <c r="M28" s="19" t="str">
        <f aca="false">IF(H28=0,"",G28/H28)</f>
        <v/>
      </c>
      <c r="N28" s="19" t="n">
        <f aca="false">IF(J28=0,"",I28/J28)</f>
        <v>1</v>
      </c>
    </row>
    <row r="29" customFormat="false" ht="15" hidden="false" customHeight="false" outlineLevel="0" collapsed="false">
      <c r="A29" s="20"/>
      <c r="B29" s="18"/>
      <c r="C29" s="20"/>
      <c r="D29" s="20"/>
      <c r="E29" s="20"/>
      <c r="F29" s="20"/>
      <c r="G29" s="20"/>
      <c r="H29" s="20"/>
      <c r="I29" s="20"/>
      <c r="J29" s="20"/>
      <c r="K29" s="19" t="str">
        <f aca="false">IF(OR(D29="",D29=0),"",C29/D29)</f>
        <v/>
      </c>
      <c r="L29" s="19" t="str">
        <f aca="false">IF(OR(F29="",F29=0),"",E29/F29)</f>
        <v/>
      </c>
      <c r="M29" s="19" t="str">
        <f aca="false">IF(OR(H29="",H29=0),"",G29/H29)</f>
        <v/>
      </c>
      <c r="N29" s="19" t="str">
        <f aca="false">IF(OR(J29="",J29=0),"",I29/J29)</f>
        <v/>
      </c>
    </row>
    <row r="30" customFormat="false" ht="15" hidden="false" customHeight="false" outlineLevel="0" collapsed="false">
      <c r="A30" s="20"/>
      <c r="B30" s="18"/>
      <c r="C30" s="20"/>
      <c r="D30" s="20"/>
      <c r="E30" s="20"/>
      <c r="F30" s="20"/>
      <c r="G30" s="20"/>
      <c r="H30" s="20"/>
      <c r="I30" s="20"/>
      <c r="J30" s="20"/>
      <c r="K30" s="19" t="str">
        <f aca="false">IF(OR(D30="",D30=0),"",C30/D30)</f>
        <v/>
      </c>
      <c r="L30" s="19" t="str">
        <f aca="false">IF(OR(F30="",F30=0),"",E30/F30)</f>
        <v/>
      </c>
      <c r="M30" s="19" t="str">
        <f aca="false">IF(OR(H30="",H30=0),"",G30/H30)</f>
        <v/>
      </c>
      <c r="N30" s="19" t="str">
        <f aca="false">IF(OR(J30="",J30=0),"",I30/J30)</f>
        <v/>
      </c>
    </row>
    <row r="31" customFormat="false" ht="15" hidden="false" customHeight="false" outlineLevel="0" collapsed="false">
      <c r="A31" s="20"/>
      <c r="B31" s="18"/>
      <c r="C31" s="20"/>
      <c r="D31" s="20"/>
      <c r="E31" s="20"/>
      <c r="F31" s="20"/>
      <c r="G31" s="20"/>
      <c r="H31" s="20"/>
      <c r="I31" s="20"/>
      <c r="J31" s="20"/>
      <c r="K31" s="19" t="str">
        <f aca="false">IF(OR(D31="",D31=0),"",C31/D31)</f>
        <v/>
      </c>
      <c r="L31" s="19" t="str">
        <f aca="false">IF(OR(F31="",F31=0),"",E31/F31)</f>
        <v/>
      </c>
      <c r="M31" s="19" t="str">
        <f aca="false">IF(OR(H31="",H31=0),"",G31/H31)</f>
        <v/>
      </c>
      <c r="N31" s="19" t="str">
        <f aca="false">IF(OR(J31="",J31=0),"",I31/J31)</f>
        <v/>
      </c>
    </row>
    <row r="32" customFormat="false" ht="15" hidden="false" customHeight="false" outlineLevel="0" collapsed="false">
      <c r="A32" s="20"/>
      <c r="B32" s="18"/>
      <c r="C32" s="20"/>
      <c r="D32" s="20"/>
      <c r="E32" s="20"/>
      <c r="F32" s="20"/>
      <c r="G32" s="20"/>
      <c r="H32" s="20"/>
      <c r="I32" s="20"/>
      <c r="J32" s="20"/>
      <c r="K32" s="19" t="str">
        <f aca="false">IF(OR(D32="",D32=0),"",C32/D32)</f>
        <v/>
      </c>
      <c r="L32" s="19" t="str">
        <f aca="false">IF(OR(F32="",F32=0),"",E32/F32)</f>
        <v/>
      </c>
      <c r="M32" s="19" t="str">
        <f aca="false">IF(OR(H32="",H32=0),"",G32/H32)</f>
        <v/>
      </c>
      <c r="N32" s="19" t="str">
        <f aca="false">IF(OR(J32="",J32=0),"",I32/J32)</f>
        <v/>
      </c>
    </row>
    <row r="33" customFormat="false" ht="15" hidden="false" customHeight="false" outlineLevel="0" collapsed="false">
      <c r="A33" s="20"/>
      <c r="B33" s="18"/>
      <c r="C33" s="20"/>
      <c r="D33" s="20"/>
      <c r="E33" s="20"/>
      <c r="F33" s="20"/>
      <c r="G33" s="20"/>
      <c r="H33" s="20"/>
      <c r="I33" s="20"/>
      <c r="J33" s="20"/>
      <c r="K33" s="19" t="str">
        <f aca="false">IF(OR(D33="",D33=0),"",C33/D33)</f>
        <v/>
      </c>
      <c r="L33" s="19" t="str">
        <f aca="false">IF(OR(F33="",F33=0),"",E33/F33)</f>
        <v/>
      </c>
      <c r="M33" s="19" t="str">
        <f aca="false">IF(OR(H33="",H33=0),"",G33/H33)</f>
        <v/>
      </c>
      <c r="N33" s="19" t="str">
        <f aca="false">IF(OR(J33="",J33=0),"",I33/J33)</f>
        <v/>
      </c>
    </row>
    <row r="34" customFormat="false" ht="15" hidden="false" customHeight="false" outlineLevel="0" collapsed="false">
      <c r="A34" s="20"/>
      <c r="B34" s="18"/>
      <c r="C34" s="20"/>
      <c r="D34" s="20"/>
      <c r="E34" s="20"/>
      <c r="F34" s="20"/>
      <c r="G34" s="20"/>
      <c r="H34" s="20"/>
      <c r="I34" s="20"/>
      <c r="J34" s="20"/>
      <c r="K34" s="19" t="str">
        <f aca="false">IF(OR(D34="",D34=0),"",C34/D34)</f>
        <v/>
      </c>
      <c r="L34" s="19" t="str">
        <f aca="false">IF(OR(F34="",F34=0),"",E34/F34)</f>
        <v/>
      </c>
      <c r="M34" s="19" t="str">
        <f aca="false">IF(OR(H34="",H34=0),"",G34/H34)</f>
        <v/>
      </c>
      <c r="N34" s="19" t="str">
        <f aca="false">IF(OR(J34="",J34=0),"",I34/J34)</f>
        <v/>
      </c>
    </row>
    <row r="35" customFormat="false" ht="15" hidden="false" customHeight="false" outlineLevel="0" collapsed="false">
      <c r="A35" s="20"/>
      <c r="B35" s="18"/>
      <c r="C35" s="20"/>
      <c r="D35" s="20"/>
      <c r="E35" s="20"/>
      <c r="F35" s="20"/>
      <c r="G35" s="20"/>
      <c r="H35" s="20"/>
      <c r="I35" s="20"/>
      <c r="J35" s="20"/>
      <c r="K35" s="19" t="str">
        <f aca="false">IF(OR(D35="",D35=0),"",C35/D35)</f>
        <v/>
      </c>
      <c r="L35" s="19" t="str">
        <f aca="false">IF(OR(F35="",F35=0),"",E35/F35)</f>
        <v/>
      </c>
      <c r="M35" s="19" t="str">
        <f aca="false">IF(OR(H35="",H35=0),"",G35/H35)</f>
        <v/>
      </c>
      <c r="N35" s="19" t="str">
        <f aca="false">IF(OR(J35="",J35=0),"",I35/J35)</f>
        <v/>
      </c>
    </row>
    <row r="36" customFormat="false" ht="15" hidden="false" customHeight="false" outlineLevel="0" collapsed="false">
      <c r="A36" s="20"/>
      <c r="B36" s="18"/>
      <c r="C36" s="20"/>
      <c r="D36" s="20"/>
      <c r="E36" s="20"/>
      <c r="F36" s="20"/>
      <c r="G36" s="20"/>
      <c r="H36" s="20"/>
      <c r="I36" s="20"/>
      <c r="J36" s="20"/>
      <c r="K36" s="19" t="str">
        <f aca="false">IF(OR(D36="",D36=0),"",C36/D36)</f>
        <v/>
      </c>
      <c r="L36" s="19" t="str">
        <f aca="false">IF(OR(F36="",F36=0),"",E36/F36)</f>
        <v/>
      </c>
      <c r="M36" s="19" t="str">
        <f aca="false">IF(OR(H36="",H36=0),"",G36/H36)</f>
        <v/>
      </c>
      <c r="N36" s="19" t="str">
        <f aca="false">IF(OR(J36="",J36=0),"",I36/J36)</f>
        <v/>
      </c>
    </row>
    <row r="37" customFormat="false" ht="15" hidden="false" customHeight="false" outlineLevel="0" collapsed="false">
      <c r="A37" s="20"/>
      <c r="B37" s="18"/>
      <c r="C37" s="20"/>
      <c r="D37" s="20"/>
      <c r="E37" s="20"/>
      <c r="F37" s="20"/>
      <c r="G37" s="20"/>
      <c r="H37" s="20"/>
      <c r="I37" s="20"/>
      <c r="J37" s="20"/>
      <c r="K37" s="19" t="str">
        <f aca="false">IF(OR(D37="",D37=0),"",C37/D37)</f>
        <v/>
      </c>
      <c r="L37" s="19" t="str">
        <f aca="false">IF(OR(F37="",F37=0),"",E37/F37)</f>
        <v/>
      </c>
      <c r="M37" s="19" t="str">
        <f aca="false">IF(OR(H37="",H37=0),"",G37/H37)</f>
        <v/>
      </c>
      <c r="N37" s="19" t="str">
        <f aca="false">IF(OR(J37="",J37=0),"",I37/J37)</f>
        <v/>
      </c>
    </row>
    <row r="38" customFormat="false" ht="15" hidden="false" customHeight="false" outlineLevel="0" collapsed="false">
      <c r="A38" s="20"/>
      <c r="B38" s="18"/>
      <c r="C38" s="20"/>
      <c r="D38" s="20"/>
      <c r="E38" s="20"/>
      <c r="F38" s="20"/>
      <c r="G38" s="20"/>
      <c r="H38" s="20"/>
      <c r="I38" s="20"/>
      <c r="J38" s="20"/>
      <c r="K38" s="19" t="str">
        <f aca="false">IF(OR(D38="",D38=0),"",C38/D38)</f>
        <v/>
      </c>
      <c r="L38" s="19" t="str">
        <f aca="false">IF(OR(F38="",F38=0),"",E38/F38)</f>
        <v/>
      </c>
      <c r="M38" s="19" t="str">
        <f aca="false">IF(OR(H38="",H38=0),"",G38/H38)</f>
        <v/>
      </c>
      <c r="N38" s="19" t="str">
        <f aca="false">IF(OR(J38="",J38=0),"",I38/J38)</f>
        <v/>
      </c>
    </row>
    <row r="39" customFormat="false" ht="15" hidden="false" customHeight="false" outlineLevel="0" collapsed="false">
      <c r="A39" s="20"/>
      <c r="B39" s="18"/>
      <c r="C39" s="20"/>
      <c r="D39" s="20"/>
      <c r="E39" s="20"/>
      <c r="F39" s="20"/>
      <c r="G39" s="20"/>
      <c r="H39" s="20"/>
      <c r="I39" s="20"/>
      <c r="J39" s="20"/>
      <c r="K39" s="19" t="str">
        <f aca="false">IF(OR(D39="",D39=0),"",C39/D39)</f>
        <v/>
      </c>
      <c r="L39" s="19" t="str">
        <f aca="false">IF(OR(F39="",F39=0),"",E39/F39)</f>
        <v/>
      </c>
      <c r="M39" s="19" t="str">
        <f aca="false">IF(OR(H39="",H39=0),"",G39/H39)</f>
        <v/>
      </c>
      <c r="N39" s="19" t="str">
        <f aca="false">IF(OR(J39="",J39=0),"",I39/J39)</f>
        <v/>
      </c>
    </row>
    <row r="40" customFormat="false" ht="15" hidden="false" customHeight="false" outlineLevel="0" collapsed="false">
      <c r="A40" s="20"/>
      <c r="B40" s="18"/>
      <c r="C40" s="20"/>
      <c r="D40" s="20"/>
      <c r="E40" s="20"/>
      <c r="F40" s="20"/>
      <c r="G40" s="20"/>
      <c r="H40" s="20"/>
      <c r="I40" s="20"/>
      <c r="J40" s="20"/>
      <c r="K40" s="19" t="str">
        <f aca="false">IF(OR(D40="",D40=0),"",C40/D40)</f>
        <v/>
      </c>
      <c r="L40" s="19" t="str">
        <f aca="false">IF(OR(F40="",F40=0),"",E40/F40)</f>
        <v/>
      </c>
      <c r="M40" s="19" t="str">
        <f aca="false">IF(OR(H40="",H40=0),"",G40/H40)</f>
        <v/>
      </c>
      <c r="N40" s="19" t="str">
        <f aca="false">IF(OR(J40="",J40=0),"",I40/J40)</f>
        <v/>
      </c>
    </row>
    <row r="41" customFormat="false" ht="15" hidden="false" customHeight="false" outlineLevel="0" collapsed="false">
      <c r="A41" s="20"/>
      <c r="B41" s="18"/>
      <c r="C41" s="20"/>
      <c r="D41" s="20"/>
      <c r="E41" s="20"/>
      <c r="F41" s="20"/>
      <c r="G41" s="20"/>
      <c r="H41" s="20"/>
      <c r="I41" s="20"/>
      <c r="J41" s="20"/>
      <c r="K41" s="19" t="str">
        <f aca="false">IF(OR(D41="",D41=0),"",C41/D41)</f>
        <v/>
      </c>
      <c r="L41" s="19" t="str">
        <f aca="false">IF(OR(F41="",F41=0),"",E41/F41)</f>
        <v/>
      </c>
      <c r="M41" s="19" t="str">
        <f aca="false">IF(OR(H41="",H41=0),"",G41/H41)</f>
        <v/>
      </c>
      <c r="N41" s="19" t="str">
        <f aca="false">IF(OR(J41="",J41=0),"",I41/J41)</f>
        <v/>
      </c>
    </row>
    <row r="42" customFormat="false" ht="15" hidden="false" customHeight="false" outlineLevel="0" collapsed="false">
      <c r="A42" s="20"/>
      <c r="B42" s="18"/>
      <c r="C42" s="20"/>
      <c r="D42" s="20"/>
      <c r="E42" s="20"/>
      <c r="F42" s="20"/>
      <c r="G42" s="20"/>
      <c r="H42" s="20"/>
      <c r="I42" s="20"/>
      <c r="J42" s="20"/>
      <c r="K42" s="19" t="str">
        <f aca="false">IF(OR(D42="",D42=0),"",C42/D42)</f>
        <v/>
      </c>
      <c r="L42" s="19" t="str">
        <f aca="false">IF(OR(F42="",F42=0),"",E42/F42)</f>
        <v/>
      </c>
      <c r="M42" s="19" t="str">
        <f aca="false">IF(OR(H42="",H42=0),"",G42/H42)</f>
        <v/>
      </c>
      <c r="N42" s="19" t="str">
        <f aca="false">IF(OR(J42="",J42=0),"",I42/J42)</f>
        <v/>
      </c>
    </row>
    <row r="43" customFormat="false" ht="15" hidden="false" customHeight="false" outlineLevel="0" collapsed="false">
      <c r="A43" s="20"/>
      <c r="B43" s="18"/>
      <c r="C43" s="20"/>
      <c r="D43" s="20"/>
      <c r="E43" s="20"/>
      <c r="F43" s="20"/>
      <c r="G43" s="20"/>
      <c r="H43" s="20"/>
      <c r="I43" s="20"/>
      <c r="J43" s="20"/>
      <c r="K43" s="19" t="str">
        <f aca="false">IF(OR(D43="",D43=0),"",C43/D43)</f>
        <v/>
      </c>
      <c r="L43" s="19" t="str">
        <f aca="false">IF(OR(F43="",F43=0),"",E43/F43)</f>
        <v/>
      </c>
      <c r="M43" s="19" t="str">
        <f aca="false">IF(OR(H43="",H43=0),"",G43/H43)</f>
        <v/>
      </c>
      <c r="N43" s="19" t="str">
        <f aca="false">IF(OR(J43="",J43=0),"",I43/J43)</f>
        <v/>
      </c>
    </row>
    <row r="44" customFormat="false" ht="15" hidden="false" customHeight="false" outlineLevel="0" collapsed="false">
      <c r="A44" s="20"/>
      <c r="B44" s="18"/>
      <c r="C44" s="20"/>
      <c r="D44" s="20"/>
      <c r="E44" s="20"/>
      <c r="F44" s="20"/>
      <c r="G44" s="20"/>
      <c r="H44" s="20"/>
      <c r="I44" s="20"/>
      <c r="J44" s="20"/>
      <c r="K44" s="19" t="str">
        <f aca="false">IF(OR(D44="",D44=0),"",C44/D44)</f>
        <v/>
      </c>
      <c r="L44" s="19" t="str">
        <f aca="false">IF(OR(F44="",F44=0),"",E44/F44)</f>
        <v/>
      </c>
      <c r="M44" s="19" t="str">
        <f aca="false">IF(OR(H44="",H44=0),"",G44/H44)</f>
        <v/>
      </c>
      <c r="N44" s="19" t="str">
        <f aca="false">IF(OR(J44="",J44=0),"",I44/J44)</f>
        <v/>
      </c>
    </row>
    <row r="45" customFormat="false" ht="15" hidden="false" customHeight="false" outlineLevel="0" collapsed="false">
      <c r="A45" s="20"/>
      <c r="B45" s="18"/>
      <c r="C45" s="20"/>
      <c r="D45" s="20"/>
      <c r="E45" s="20"/>
      <c r="F45" s="20"/>
      <c r="G45" s="20"/>
      <c r="H45" s="20"/>
      <c r="I45" s="20"/>
      <c r="J45" s="20"/>
      <c r="K45" s="19" t="str">
        <f aca="false">IF(OR(D45="",D45=0),"",C45/D45)</f>
        <v/>
      </c>
      <c r="L45" s="19" t="str">
        <f aca="false">IF(OR(F45="",F45=0),"",E45/F45)</f>
        <v/>
      </c>
      <c r="M45" s="19" t="str">
        <f aca="false">IF(OR(H45="",H45=0),"",G45/H45)</f>
        <v/>
      </c>
      <c r="N45" s="19" t="str">
        <f aca="false">IF(OR(J45="",J45=0),"",I45/J45)</f>
        <v/>
      </c>
    </row>
    <row r="46" customFormat="false" ht="15" hidden="false" customHeight="false" outlineLevel="0" collapsed="false">
      <c r="A46" s="20"/>
      <c r="B46" s="18"/>
      <c r="C46" s="20"/>
      <c r="D46" s="20"/>
      <c r="E46" s="20"/>
      <c r="F46" s="20"/>
      <c r="G46" s="20"/>
      <c r="H46" s="20"/>
      <c r="I46" s="20"/>
      <c r="J46" s="20"/>
      <c r="K46" s="19" t="str">
        <f aca="false">IF(OR(D46="",D46=0),"",C46/D46)</f>
        <v/>
      </c>
      <c r="L46" s="19" t="str">
        <f aca="false">IF(OR(F46="",F46=0),"",E46/F46)</f>
        <v/>
      </c>
      <c r="M46" s="19" t="str">
        <f aca="false">IF(OR(H46="",H46=0),"",G46/H46)</f>
        <v/>
      </c>
      <c r="N46" s="19" t="str">
        <f aca="false">IF(OR(J46="",J46=0),"",I46/J46)</f>
        <v/>
      </c>
    </row>
    <row r="47" customFormat="false" ht="15" hidden="false" customHeight="false" outlineLevel="0" collapsed="false">
      <c r="A47" s="20"/>
      <c r="B47" s="18"/>
      <c r="C47" s="20"/>
      <c r="D47" s="20"/>
      <c r="E47" s="20"/>
      <c r="F47" s="20"/>
      <c r="G47" s="20"/>
      <c r="H47" s="20"/>
      <c r="I47" s="20"/>
      <c r="J47" s="20"/>
      <c r="K47" s="19" t="str">
        <f aca="false">IF(OR(D47="",D47=0),"",C47/D47)</f>
        <v/>
      </c>
      <c r="L47" s="19" t="str">
        <f aca="false">IF(OR(F47="",F47=0),"",E47/F47)</f>
        <v/>
      </c>
      <c r="M47" s="19" t="str">
        <f aca="false">IF(OR(H47="",H47=0),"",G47/H47)</f>
        <v/>
      </c>
      <c r="N47" s="19" t="str">
        <f aca="false">IF(OR(J47="",J47=0),"",I47/J47)</f>
        <v/>
      </c>
    </row>
    <row r="48" customFormat="false" ht="15" hidden="false" customHeight="false" outlineLevel="0" collapsed="false">
      <c r="A48" s="20"/>
      <c r="B48" s="18"/>
      <c r="C48" s="20"/>
      <c r="D48" s="20"/>
      <c r="E48" s="20"/>
      <c r="F48" s="20"/>
      <c r="G48" s="20"/>
      <c r="H48" s="20"/>
      <c r="I48" s="20"/>
      <c r="J48" s="20"/>
      <c r="K48" s="19" t="str">
        <f aca="false">IF(OR(D48="",D48=0),"",C48/D48)</f>
        <v/>
      </c>
      <c r="L48" s="19" t="str">
        <f aca="false">IF(OR(F48="",F48=0),"",E48/F48)</f>
        <v/>
      </c>
      <c r="M48" s="19" t="str">
        <f aca="false">IF(OR(H48="",H48=0),"",G48/H48)</f>
        <v/>
      </c>
      <c r="N48" s="19" t="str">
        <f aca="false">IF(OR(J48="",J48=0),"",I48/J48)</f>
        <v/>
      </c>
    </row>
    <row r="49" customFormat="false" ht="15" hidden="false" customHeight="false" outlineLevel="0" collapsed="false">
      <c r="A49" s="20"/>
      <c r="B49" s="18"/>
      <c r="C49" s="20"/>
      <c r="D49" s="20"/>
      <c r="E49" s="20"/>
      <c r="F49" s="20"/>
      <c r="G49" s="20"/>
      <c r="H49" s="20"/>
      <c r="I49" s="20"/>
      <c r="J49" s="20"/>
      <c r="K49" s="19" t="str">
        <f aca="false">IF(OR(D49="",D49=0),"",C49/D49)</f>
        <v/>
      </c>
      <c r="L49" s="19" t="str">
        <f aca="false">IF(OR(F49="",F49=0),"",E49/F49)</f>
        <v/>
      </c>
      <c r="M49" s="19" t="str">
        <f aca="false">IF(OR(H49="",H49=0),"",G49/H49)</f>
        <v/>
      </c>
      <c r="N49" s="19" t="str">
        <f aca="false">IF(OR(J49="",J49=0),"",I49/J49)</f>
        <v/>
      </c>
    </row>
    <row r="50" customFormat="false" ht="15" hidden="false" customHeight="false" outlineLevel="0" collapsed="false">
      <c r="A50" s="20"/>
      <c r="B50" s="18"/>
      <c r="C50" s="20"/>
      <c r="D50" s="20"/>
      <c r="E50" s="20"/>
      <c r="F50" s="20"/>
      <c r="G50" s="20"/>
      <c r="H50" s="20"/>
      <c r="I50" s="20"/>
      <c r="J50" s="20"/>
      <c r="K50" s="19" t="str">
        <f aca="false">IF(OR(D50="",D50=0),"",C50/D50)</f>
        <v/>
      </c>
      <c r="L50" s="19" t="str">
        <f aca="false">IF(OR(F50="",F50=0),"",E50/F50)</f>
        <v/>
      </c>
      <c r="M50" s="19" t="str">
        <f aca="false">IF(OR(H50="",H50=0),"",G50/H50)</f>
        <v/>
      </c>
      <c r="N50" s="19" t="str">
        <f aca="false">IF(OR(J50="",J50=0),"",I50/J50)</f>
        <v/>
      </c>
    </row>
    <row r="51" customFormat="false" ht="15" hidden="false" customHeight="false" outlineLevel="0" collapsed="false">
      <c r="A51" s="20"/>
      <c r="B51" s="18"/>
      <c r="C51" s="20"/>
      <c r="D51" s="20"/>
      <c r="E51" s="20"/>
      <c r="F51" s="20"/>
      <c r="G51" s="20"/>
      <c r="H51" s="20"/>
      <c r="I51" s="20"/>
      <c r="J51" s="20"/>
      <c r="K51" s="19" t="str">
        <f aca="false">IF(OR(D51="",D51=0),"",C51/D51)</f>
        <v/>
      </c>
      <c r="L51" s="19" t="str">
        <f aca="false">IF(OR(F51="",F51=0),"",E51/F51)</f>
        <v/>
      </c>
      <c r="M51" s="19" t="str">
        <f aca="false">IF(OR(H51="",H51=0),"",G51/H51)</f>
        <v/>
      </c>
      <c r="N51" s="19" t="str">
        <f aca="false">IF(OR(J51="",J51=0),"",I51/J51)</f>
        <v/>
      </c>
    </row>
    <row r="52" customFormat="false" ht="15" hidden="false" customHeight="false" outlineLevel="0" collapsed="false">
      <c r="A52" s="20"/>
      <c r="B52" s="18"/>
      <c r="C52" s="20"/>
      <c r="D52" s="20"/>
      <c r="E52" s="20"/>
      <c r="F52" s="20"/>
      <c r="G52" s="20"/>
      <c r="H52" s="20"/>
      <c r="I52" s="20"/>
      <c r="J52" s="20"/>
      <c r="K52" s="19" t="str">
        <f aca="false">IF(OR(D52="",D52=0),"",C52/D52)</f>
        <v/>
      </c>
      <c r="L52" s="19" t="str">
        <f aca="false">IF(OR(F52="",F52=0),"",E52/F52)</f>
        <v/>
      </c>
      <c r="M52" s="19" t="str">
        <f aca="false">IF(OR(H52="",H52=0),"",G52/H52)</f>
        <v/>
      </c>
      <c r="N52" s="19" t="str">
        <f aca="false">IF(OR(J52="",J52=0),"",I52/J52)</f>
        <v/>
      </c>
    </row>
    <row r="53" customFormat="false" ht="15" hidden="false" customHeight="false" outlineLevel="0" collapsed="false">
      <c r="A53" s="20"/>
      <c r="B53" s="18"/>
      <c r="C53" s="20"/>
      <c r="D53" s="20"/>
      <c r="E53" s="20"/>
      <c r="F53" s="20"/>
      <c r="G53" s="20"/>
      <c r="H53" s="20"/>
      <c r="I53" s="20"/>
      <c r="J53" s="20"/>
      <c r="K53" s="19" t="str">
        <f aca="false">IF(OR(D53="",D53=0),"",C53/D53)</f>
        <v/>
      </c>
      <c r="L53" s="19" t="str">
        <f aca="false">IF(OR(F53="",F53=0),"",E53/F53)</f>
        <v/>
      </c>
      <c r="M53" s="19" t="str">
        <f aca="false">IF(OR(H53="",H53=0),"",G53/H53)</f>
        <v/>
      </c>
      <c r="N53" s="19" t="str">
        <f aca="false">IF(OR(J53="",J53=0),"",I53/J53)</f>
        <v/>
      </c>
    </row>
    <row r="54" customFormat="false" ht="15" hidden="false" customHeight="false" outlineLevel="0" collapsed="false">
      <c r="A54" s="20"/>
      <c r="B54" s="18"/>
      <c r="C54" s="20"/>
      <c r="D54" s="20"/>
      <c r="E54" s="20"/>
      <c r="F54" s="20"/>
      <c r="G54" s="20"/>
      <c r="H54" s="20"/>
      <c r="I54" s="20"/>
      <c r="J54" s="20"/>
      <c r="K54" s="19" t="str">
        <f aca="false">IF(OR(D54="",D54=0),"",C54/D54)</f>
        <v/>
      </c>
      <c r="L54" s="19" t="str">
        <f aca="false">IF(OR(F54="",F54=0),"",E54/F54)</f>
        <v/>
      </c>
      <c r="M54" s="19" t="str">
        <f aca="false">IF(OR(H54="",H54=0),"",G54/H54)</f>
        <v/>
      </c>
      <c r="N54" s="19" t="str">
        <f aca="false">IF(OR(J54="",J54=0),"",I54/J54)</f>
        <v/>
      </c>
    </row>
    <row r="55" customFormat="false" ht="15" hidden="false" customHeight="false" outlineLevel="0" collapsed="false">
      <c r="A55" s="20"/>
      <c r="B55" s="18"/>
      <c r="C55" s="20"/>
      <c r="D55" s="20"/>
      <c r="E55" s="20"/>
      <c r="F55" s="20"/>
      <c r="G55" s="20"/>
      <c r="H55" s="20"/>
      <c r="I55" s="20"/>
      <c r="J55" s="20"/>
      <c r="K55" s="19" t="str">
        <f aca="false">IF(OR(D55="",D55=0),"",C55/D55)</f>
        <v/>
      </c>
      <c r="L55" s="19" t="str">
        <f aca="false">IF(OR(F55="",F55=0),"",E55/F55)</f>
        <v/>
      </c>
      <c r="M55" s="19" t="str">
        <f aca="false">IF(OR(H55="",H55=0),"",G55/H55)</f>
        <v/>
      </c>
      <c r="N55" s="19" t="str">
        <f aca="false">IF(OR(J55="",J55=0),"",I55/J55)</f>
        <v/>
      </c>
    </row>
    <row r="56" customFormat="false" ht="15" hidden="false" customHeight="false" outlineLevel="0" collapsed="false">
      <c r="A56" s="20"/>
      <c r="B56" s="18"/>
      <c r="C56" s="20"/>
      <c r="D56" s="20"/>
      <c r="E56" s="20"/>
      <c r="F56" s="20"/>
      <c r="G56" s="20"/>
      <c r="H56" s="20"/>
      <c r="I56" s="20"/>
      <c r="J56" s="20"/>
      <c r="K56" s="19" t="str">
        <f aca="false">IF(OR(D56="",D56=0),"",C56/D56)</f>
        <v/>
      </c>
      <c r="L56" s="19" t="str">
        <f aca="false">IF(OR(F56="",F56=0),"",E56/F56)</f>
        <v/>
      </c>
      <c r="M56" s="19" t="str">
        <f aca="false">IF(OR(H56="",H56=0),"",G56/H56)</f>
        <v/>
      </c>
      <c r="N56" s="19" t="str">
        <f aca="false">IF(OR(J56="",J56=0),"",I56/J56)</f>
        <v/>
      </c>
    </row>
    <row r="57" customFormat="false" ht="15" hidden="false" customHeight="false" outlineLevel="0" collapsed="false">
      <c r="A57" s="20"/>
      <c r="B57" s="18"/>
      <c r="C57" s="20"/>
      <c r="D57" s="20"/>
      <c r="E57" s="20"/>
      <c r="F57" s="20"/>
      <c r="G57" s="20"/>
      <c r="H57" s="20"/>
      <c r="I57" s="20"/>
      <c r="J57" s="20"/>
      <c r="K57" s="19" t="str">
        <f aca="false">IF(OR(D57="",D57=0),"",C57/D57)</f>
        <v/>
      </c>
      <c r="L57" s="19" t="str">
        <f aca="false">IF(OR(F57="",F57=0),"",E57/F57)</f>
        <v/>
      </c>
      <c r="M57" s="19" t="str">
        <f aca="false">IF(OR(H57="",H57=0),"",G57/H57)</f>
        <v/>
      </c>
      <c r="N57" s="19" t="str">
        <f aca="false">IF(OR(J57="",J57=0),"",I57/J57)</f>
        <v/>
      </c>
    </row>
    <row r="58" customFormat="false" ht="15" hidden="false" customHeight="false" outlineLevel="0" collapsed="false">
      <c r="A58" s="20"/>
      <c r="B58" s="18"/>
      <c r="C58" s="20"/>
      <c r="D58" s="20"/>
      <c r="E58" s="20"/>
      <c r="F58" s="20"/>
      <c r="G58" s="20"/>
      <c r="H58" s="20"/>
      <c r="I58" s="20"/>
      <c r="J58" s="20"/>
      <c r="K58" s="19" t="str">
        <f aca="false">IF(OR(D58="",D58=0),"",C58/D58)</f>
        <v/>
      </c>
      <c r="L58" s="19" t="str">
        <f aca="false">IF(OR(F58="",F58=0),"",E58/F58)</f>
        <v/>
      </c>
      <c r="M58" s="19" t="str">
        <f aca="false">IF(OR(H58="",H58=0),"",G58/H58)</f>
        <v/>
      </c>
      <c r="N58" s="19" t="str">
        <f aca="false">IF(OR(J58="",J58=0),"",I58/J58)</f>
        <v/>
      </c>
    </row>
    <row r="59" customFormat="false" ht="15" hidden="false" customHeight="false" outlineLevel="0" collapsed="false">
      <c r="A59" s="20"/>
      <c r="B59" s="18"/>
      <c r="C59" s="20"/>
      <c r="D59" s="20"/>
      <c r="E59" s="20"/>
      <c r="F59" s="20"/>
      <c r="G59" s="20"/>
      <c r="H59" s="20"/>
      <c r="I59" s="20"/>
      <c r="J59" s="20"/>
      <c r="K59" s="19" t="str">
        <f aca="false">IF(OR(D59="",D59=0),"",C59/D59)</f>
        <v/>
      </c>
      <c r="L59" s="19" t="str">
        <f aca="false">IF(OR(F59="",F59=0),"",E59/F59)</f>
        <v/>
      </c>
      <c r="M59" s="19" t="str">
        <f aca="false">IF(OR(H59="",H59=0),"",G59/H59)</f>
        <v/>
      </c>
      <c r="N59" s="19" t="str">
        <f aca="false">IF(OR(J59="",J59=0),"",I59/J59)</f>
        <v/>
      </c>
    </row>
    <row r="60" customFormat="false" ht="15" hidden="false" customHeight="false" outlineLevel="0" collapsed="false">
      <c r="A60" s="20"/>
      <c r="B60" s="18"/>
      <c r="C60" s="20"/>
      <c r="D60" s="20"/>
      <c r="E60" s="20"/>
      <c r="F60" s="20"/>
      <c r="G60" s="20"/>
      <c r="H60" s="20"/>
      <c r="I60" s="20"/>
      <c r="J60" s="20"/>
      <c r="K60" s="19" t="str">
        <f aca="false">IF(OR(D60="",D60=0),"",C60/D60)</f>
        <v/>
      </c>
      <c r="L60" s="19" t="str">
        <f aca="false">IF(OR(F60="",F60=0),"",E60/F60)</f>
        <v/>
      </c>
      <c r="M60" s="19" t="str">
        <f aca="false">IF(OR(H60="",H60=0),"",G60/H60)</f>
        <v/>
      </c>
      <c r="N60" s="19" t="str">
        <f aca="false">IF(OR(J60="",J60=0),"",I60/J60)</f>
        <v/>
      </c>
    </row>
    <row r="61" customFormat="false" ht="15" hidden="false" customHeight="false" outlineLevel="0" collapsed="false">
      <c r="A61" s="20"/>
      <c r="B61" s="18"/>
      <c r="C61" s="20"/>
      <c r="D61" s="20"/>
      <c r="E61" s="20"/>
      <c r="F61" s="20"/>
      <c r="G61" s="20"/>
      <c r="H61" s="20"/>
      <c r="I61" s="20"/>
      <c r="J61" s="20"/>
      <c r="K61" s="19" t="str">
        <f aca="false">IF(OR(D61="",D61=0),"",C61/D61)</f>
        <v/>
      </c>
      <c r="L61" s="19" t="str">
        <f aca="false">IF(OR(F61="",F61=0),"",E61/F61)</f>
        <v/>
      </c>
      <c r="M61" s="19" t="str">
        <f aca="false">IF(OR(H61="",H61=0),"",G61/H61)</f>
        <v/>
      </c>
      <c r="N61" s="19" t="str">
        <f aca="false">IF(OR(J61="",J61=0),"",I61/J61)</f>
        <v/>
      </c>
    </row>
    <row r="62" customFormat="false" ht="15" hidden="false" customHeight="false" outlineLevel="0" collapsed="false">
      <c r="A62" s="20"/>
      <c r="B62" s="18"/>
      <c r="C62" s="20"/>
      <c r="D62" s="20"/>
      <c r="E62" s="20"/>
      <c r="F62" s="20"/>
      <c r="G62" s="20"/>
      <c r="H62" s="20"/>
      <c r="I62" s="20"/>
      <c r="J62" s="20"/>
      <c r="K62" s="19" t="str">
        <f aca="false">IF(OR(D62="",D62=0),"",C62/D62)</f>
        <v/>
      </c>
      <c r="L62" s="19" t="str">
        <f aca="false">IF(OR(F62="",F62=0),"",E62/F62)</f>
        <v/>
      </c>
      <c r="M62" s="19" t="str">
        <f aca="false">IF(OR(H62="",H62=0),"",G62/H62)</f>
        <v/>
      </c>
      <c r="N62" s="19" t="str">
        <f aca="false">IF(OR(J62="",J62=0),"",I62/J62)</f>
        <v/>
      </c>
    </row>
    <row r="63" customFormat="false" ht="15" hidden="false" customHeight="false" outlineLevel="0" collapsed="false">
      <c r="A63" s="20"/>
      <c r="B63" s="18"/>
      <c r="C63" s="20"/>
      <c r="D63" s="20"/>
      <c r="E63" s="20"/>
      <c r="F63" s="20"/>
      <c r="G63" s="20"/>
      <c r="H63" s="20"/>
      <c r="I63" s="20"/>
      <c r="J63" s="20"/>
      <c r="K63" s="19" t="str">
        <f aca="false">IF(OR(D63="",D63=0),"",C63/D63)</f>
        <v/>
      </c>
      <c r="L63" s="19" t="str">
        <f aca="false">IF(OR(F63="",F63=0),"",E63/F63)</f>
        <v/>
      </c>
      <c r="M63" s="19" t="str">
        <f aca="false">IF(OR(H63="",H63=0),"",G63/H63)</f>
        <v/>
      </c>
      <c r="N63" s="19" t="str">
        <f aca="false">IF(OR(J63="",J63=0),"",I63/J63)</f>
        <v/>
      </c>
    </row>
    <row r="64" customFormat="false" ht="15" hidden="false" customHeight="false" outlineLevel="0" collapsed="false">
      <c r="A64" s="20"/>
      <c r="B64" s="18"/>
      <c r="C64" s="20"/>
      <c r="D64" s="20"/>
      <c r="E64" s="20"/>
      <c r="F64" s="20"/>
      <c r="G64" s="20"/>
      <c r="H64" s="20"/>
      <c r="I64" s="20"/>
      <c r="J64" s="20"/>
      <c r="K64" s="19" t="str">
        <f aca="false">IF(OR(D64="",D64=0),"",C64/D64)</f>
        <v/>
      </c>
      <c r="L64" s="19" t="str">
        <f aca="false">IF(OR(F64="",F64=0),"",E64/F64)</f>
        <v/>
      </c>
      <c r="M64" s="19" t="str">
        <f aca="false">IF(OR(H64="",H64=0),"",G64/H64)</f>
        <v/>
      </c>
      <c r="N64" s="19" t="str">
        <f aca="false">IF(OR(J64="",J64=0),"",I64/J64)</f>
        <v/>
      </c>
    </row>
    <row r="65" customFormat="false" ht="15" hidden="false" customHeight="false" outlineLevel="0" collapsed="false">
      <c r="A65" s="20"/>
      <c r="B65" s="18"/>
      <c r="C65" s="20"/>
      <c r="D65" s="20"/>
      <c r="E65" s="20"/>
      <c r="F65" s="20"/>
      <c r="G65" s="20"/>
      <c r="H65" s="20"/>
      <c r="I65" s="20"/>
      <c r="J65" s="20"/>
      <c r="K65" s="19" t="str">
        <f aca="false">IF(OR(D65="",D65=0),"",C65/D65)</f>
        <v/>
      </c>
      <c r="L65" s="19" t="str">
        <f aca="false">IF(OR(F65="",F65=0),"",E65/F65)</f>
        <v/>
      </c>
      <c r="M65" s="19" t="str">
        <f aca="false">IF(OR(H65="",H65=0),"",G65/H65)</f>
        <v/>
      </c>
      <c r="N65" s="19" t="str">
        <f aca="false">IF(OR(J65="",J65=0),"",I65/J65)</f>
        <v/>
      </c>
    </row>
    <row r="66" customFormat="false" ht="15" hidden="false" customHeight="false" outlineLevel="0" collapsed="false">
      <c r="A66" s="20"/>
      <c r="B66" s="18"/>
      <c r="C66" s="20"/>
      <c r="D66" s="20"/>
      <c r="E66" s="20"/>
      <c r="F66" s="20"/>
      <c r="G66" s="20"/>
      <c r="H66" s="20"/>
      <c r="I66" s="20"/>
      <c r="J66" s="20"/>
      <c r="K66" s="19" t="str">
        <f aca="false">IF(OR(D66="",D66=0),"",C66/D66)</f>
        <v/>
      </c>
      <c r="L66" s="19" t="str">
        <f aca="false">IF(OR(F66="",F66=0),"",E66/F66)</f>
        <v/>
      </c>
      <c r="M66" s="19" t="str">
        <f aca="false">IF(OR(H66="",H66=0),"",G66/H66)</f>
        <v/>
      </c>
      <c r="N66" s="19" t="str">
        <f aca="false">IF(OR(J66="",J66=0),"",I66/J66)</f>
        <v/>
      </c>
    </row>
    <row r="67" customFormat="false" ht="15" hidden="false" customHeight="false" outlineLevel="0" collapsed="false">
      <c r="A67" s="20"/>
      <c r="B67" s="18"/>
      <c r="C67" s="20"/>
      <c r="D67" s="20"/>
      <c r="E67" s="20"/>
      <c r="F67" s="20"/>
      <c r="G67" s="20"/>
      <c r="H67" s="20"/>
      <c r="I67" s="20"/>
      <c r="J67" s="20"/>
      <c r="K67" s="19" t="str">
        <f aca="false">IF(OR(D67="",D67=0),"",C67/D67)</f>
        <v/>
      </c>
      <c r="L67" s="19" t="str">
        <f aca="false">IF(OR(F67="",F67=0),"",E67/F67)</f>
        <v/>
      </c>
      <c r="M67" s="19" t="str">
        <f aca="false">IF(OR(H67="",H67=0),"",G67/H67)</f>
        <v/>
      </c>
      <c r="N67" s="19" t="str">
        <f aca="false">IF(OR(J67="",J67=0),"",I67/J67)</f>
        <v/>
      </c>
    </row>
    <row r="68" customFormat="false" ht="15" hidden="false" customHeight="false" outlineLevel="0" collapsed="false">
      <c r="A68" s="20"/>
      <c r="B68" s="18"/>
      <c r="C68" s="20"/>
      <c r="D68" s="20"/>
      <c r="E68" s="20"/>
      <c r="F68" s="20"/>
      <c r="G68" s="20"/>
      <c r="H68" s="20"/>
      <c r="I68" s="20"/>
      <c r="J68" s="20"/>
      <c r="K68" s="19" t="str">
        <f aca="false">IF(OR(D68="",D68=0),"",C68/D68)</f>
        <v/>
      </c>
      <c r="L68" s="19" t="str">
        <f aca="false">IF(OR(F68="",F68=0),"",E68/F68)</f>
        <v/>
      </c>
      <c r="M68" s="19" t="str">
        <f aca="false">IF(OR(H68="",H68=0),"",G68/H68)</f>
        <v/>
      </c>
      <c r="N68" s="19" t="str">
        <f aca="false">IF(OR(J68="",J68=0),"",I68/J68)</f>
        <v/>
      </c>
    </row>
    <row r="70" customFormat="false" ht="15" hidden="false" customHeight="false" outlineLevel="0" collapsed="false">
      <c r="A70" s="4" t="s">
        <v>671</v>
      </c>
    </row>
  </sheetData>
  <autoFilter ref="A4:N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40"/>
    <col collapsed="false" customWidth="true" hidden="false" outlineLevel="0" max="4" min="4" style="0" width="48"/>
    <col collapsed="false" customWidth="true" hidden="false" outlineLevel="0" max="5" min="5" style="0" width="40"/>
    <col collapsed="false" customWidth="true" hidden="false" outlineLevel="0" max="6" min="6" style="0" width="30"/>
    <col collapsed="false" customWidth="true" hidden="false" outlineLevel="0" max="7" min="7" style="0" width="11"/>
    <col collapsed="false" customWidth="true" hidden="false" outlineLevel="0" max="8" min="8" style="0" width="14"/>
  </cols>
  <sheetData>
    <row r="1" customFormat="false" ht="17.35" hidden="false" customHeight="false" outlineLevel="0" collapsed="false">
      <c r="A1" s="1" t="s">
        <v>672</v>
      </c>
    </row>
    <row r="2" customFormat="false" ht="15" hidden="false" customHeight="false" outlineLevel="0" collapsed="false">
      <c r="A2" s="12" t="s">
        <v>673</v>
      </c>
    </row>
    <row r="4" customFormat="false" ht="15" hidden="false" customHeight="false" outlineLevel="0" collapsed="false">
      <c r="A4" s="13" t="s">
        <v>109</v>
      </c>
      <c r="B4" s="13" t="s">
        <v>674</v>
      </c>
      <c r="C4" s="13" t="s">
        <v>675</v>
      </c>
      <c r="D4" s="13" t="s">
        <v>676</v>
      </c>
      <c r="E4" s="13" t="s">
        <v>677</v>
      </c>
      <c r="F4" s="13" t="s">
        <v>678</v>
      </c>
      <c r="G4" s="13" t="s">
        <v>4</v>
      </c>
      <c r="H4" s="13" t="s">
        <v>76</v>
      </c>
    </row>
    <row r="5" customFormat="false" ht="46.25" hidden="false" customHeight="false" outlineLevel="0" collapsed="false">
      <c r="A5" s="7" t="s">
        <v>679</v>
      </c>
      <c r="B5" s="11" t="s">
        <v>142</v>
      </c>
      <c r="C5" s="14" t="s">
        <v>680</v>
      </c>
      <c r="D5" s="14" t="s">
        <v>681</v>
      </c>
      <c r="E5" s="14" t="s">
        <v>682</v>
      </c>
      <c r="F5" s="18"/>
      <c r="G5" s="20"/>
      <c r="H5" s="18"/>
    </row>
    <row r="6" customFormat="false" ht="35.05" hidden="false" customHeight="false" outlineLevel="0" collapsed="false">
      <c r="A6" s="7" t="s">
        <v>683</v>
      </c>
      <c r="B6" s="11" t="s">
        <v>180</v>
      </c>
      <c r="C6" s="14" t="s">
        <v>684</v>
      </c>
      <c r="D6" s="14" t="s">
        <v>685</v>
      </c>
      <c r="E6" s="14" t="s">
        <v>686</v>
      </c>
      <c r="F6" s="18"/>
      <c r="G6" s="20"/>
      <c r="H6" s="18"/>
    </row>
    <row r="7" customFormat="false" ht="35.05" hidden="false" customHeight="false" outlineLevel="0" collapsed="false">
      <c r="A7" s="7" t="s">
        <v>687</v>
      </c>
      <c r="B7" s="11" t="s">
        <v>688</v>
      </c>
      <c r="C7" s="14" t="s">
        <v>689</v>
      </c>
      <c r="D7" s="14" t="s">
        <v>690</v>
      </c>
      <c r="E7" s="14" t="s">
        <v>691</v>
      </c>
      <c r="F7" s="18"/>
      <c r="G7" s="20"/>
      <c r="H7" s="18"/>
    </row>
    <row r="8" customFormat="false" ht="46.25" hidden="false" customHeight="false" outlineLevel="0" collapsed="false">
      <c r="A8" s="7" t="s">
        <v>692</v>
      </c>
      <c r="B8" s="11" t="s">
        <v>217</v>
      </c>
      <c r="C8" s="14" t="s">
        <v>693</v>
      </c>
      <c r="D8" s="14" t="s">
        <v>694</v>
      </c>
      <c r="E8" s="14" t="s">
        <v>695</v>
      </c>
      <c r="F8" s="18"/>
      <c r="G8" s="20"/>
      <c r="H8" s="18"/>
    </row>
    <row r="9" customFormat="false" ht="35.05" hidden="false" customHeight="false" outlineLevel="0" collapsed="false">
      <c r="A9" s="7" t="s">
        <v>483</v>
      </c>
      <c r="B9" s="11" t="s">
        <v>696</v>
      </c>
      <c r="C9" s="14" t="s">
        <v>697</v>
      </c>
      <c r="D9" s="14" t="s">
        <v>698</v>
      </c>
      <c r="E9" s="14" t="s">
        <v>699</v>
      </c>
      <c r="F9" s="18"/>
      <c r="G9" s="20"/>
      <c r="H9" s="18"/>
    </row>
    <row r="10" customFormat="false" ht="35.05" hidden="false" customHeight="false" outlineLevel="0" collapsed="false">
      <c r="A10" s="7" t="s">
        <v>437</v>
      </c>
      <c r="B10" s="11" t="s">
        <v>700</v>
      </c>
      <c r="C10" s="14" t="s">
        <v>701</v>
      </c>
      <c r="D10" s="14" t="s">
        <v>702</v>
      </c>
      <c r="E10" s="14" t="s">
        <v>703</v>
      </c>
      <c r="F10" s="18"/>
      <c r="G10" s="20"/>
      <c r="H10" s="18"/>
    </row>
    <row r="11" customFormat="false" ht="46.25" hidden="false" customHeight="false" outlineLevel="0" collapsed="false">
      <c r="A11" s="7" t="s">
        <v>704</v>
      </c>
      <c r="B11" s="11" t="s">
        <v>705</v>
      </c>
      <c r="C11" s="14" t="s">
        <v>706</v>
      </c>
      <c r="D11" s="14" t="s">
        <v>707</v>
      </c>
      <c r="E11" s="14" t="s">
        <v>695</v>
      </c>
      <c r="F11" s="18"/>
      <c r="G11" s="20"/>
      <c r="H11" s="18"/>
    </row>
    <row r="12" customFormat="false" ht="46.25" hidden="false" customHeight="false" outlineLevel="0" collapsed="false">
      <c r="A12" s="7" t="s">
        <v>451</v>
      </c>
      <c r="B12" s="11" t="s">
        <v>708</v>
      </c>
      <c r="C12" s="14" t="s">
        <v>709</v>
      </c>
      <c r="D12" s="14" t="s">
        <v>710</v>
      </c>
      <c r="E12" s="14" t="s">
        <v>695</v>
      </c>
      <c r="F12" s="18"/>
      <c r="G12" s="20"/>
      <c r="H12" s="18"/>
    </row>
    <row r="13" customFormat="false" ht="35.05" hidden="false" customHeight="false" outlineLevel="0" collapsed="false">
      <c r="A13" s="7" t="s">
        <v>416</v>
      </c>
      <c r="B13" s="11" t="s">
        <v>411</v>
      </c>
      <c r="C13" s="14" t="s">
        <v>711</v>
      </c>
      <c r="D13" s="14" t="s">
        <v>712</v>
      </c>
      <c r="E13" s="14" t="s">
        <v>713</v>
      </c>
      <c r="F13" s="18"/>
      <c r="G13" s="20"/>
      <c r="H13" s="18"/>
    </row>
    <row r="14" customFormat="false" ht="57.45" hidden="false" customHeight="false" outlineLevel="0" collapsed="false">
      <c r="A14" s="7" t="s">
        <v>477</v>
      </c>
      <c r="B14" s="11" t="s">
        <v>714</v>
      </c>
      <c r="C14" s="14" t="s">
        <v>715</v>
      </c>
      <c r="D14" s="14" t="s">
        <v>716</v>
      </c>
      <c r="E14" s="14" t="s">
        <v>695</v>
      </c>
      <c r="F14" s="18"/>
      <c r="G14" s="20"/>
      <c r="H14" s="18"/>
    </row>
    <row r="15" customFormat="false" ht="57.45" hidden="false" customHeight="false" outlineLevel="0" collapsed="false">
      <c r="A15" s="7" t="s">
        <v>444</v>
      </c>
      <c r="B15" s="11" t="s">
        <v>717</v>
      </c>
      <c r="C15" s="14" t="s">
        <v>718</v>
      </c>
      <c r="D15" s="14" t="s">
        <v>719</v>
      </c>
      <c r="E15" s="14" t="s">
        <v>695</v>
      </c>
      <c r="F15" s="18"/>
      <c r="G15" s="20"/>
      <c r="H15"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38"/>
    <col collapsed="false" customWidth="true" hidden="false" outlineLevel="0" max="4" min="4" style="0" width="20"/>
    <col collapsed="false" customWidth="true" hidden="false" outlineLevel="0" max="5" min="5" style="0" width="26"/>
    <col collapsed="false" customWidth="true" hidden="false" outlineLevel="0" max="6" min="6" style="0" width="16"/>
    <col collapsed="false" customWidth="true" hidden="false" outlineLevel="0" max="7" min="7" style="0" width="13"/>
    <col collapsed="false" customWidth="true" hidden="false" outlineLevel="0" max="8" min="8" style="0" width="52"/>
  </cols>
  <sheetData>
    <row r="1" customFormat="false" ht="17.35" hidden="false" customHeight="false" outlineLevel="0" collapsed="false">
      <c r="A1" s="1" t="s">
        <v>720</v>
      </c>
    </row>
    <row r="2" customFormat="false" ht="15" hidden="false" customHeight="false" outlineLevel="0" collapsed="false">
      <c r="A2" s="12" t="s">
        <v>721</v>
      </c>
    </row>
    <row r="4" customFormat="false" ht="23.85" hidden="false" customHeight="false" outlineLevel="0" collapsed="false">
      <c r="A4" s="13" t="s">
        <v>109</v>
      </c>
      <c r="B4" s="13" t="s">
        <v>72</v>
      </c>
      <c r="C4" s="13" t="s">
        <v>722</v>
      </c>
      <c r="D4" s="13" t="s">
        <v>723</v>
      </c>
      <c r="E4" s="13" t="s">
        <v>724</v>
      </c>
      <c r="F4" s="13" t="s">
        <v>725</v>
      </c>
      <c r="G4" s="13" t="s">
        <v>726</v>
      </c>
      <c r="H4" s="13" t="s">
        <v>727</v>
      </c>
    </row>
    <row r="5" customFormat="false" ht="23.85" hidden="false" customHeight="false" outlineLevel="0" collapsed="false">
      <c r="A5" s="7" t="s">
        <v>728</v>
      </c>
      <c r="B5" s="11" t="s">
        <v>729</v>
      </c>
      <c r="C5" s="14" t="s">
        <v>730</v>
      </c>
      <c r="D5" s="11" t="s">
        <v>731</v>
      </c>
      <c r="E5" s="11" t="s">
        <v>731</v>
      </c>
      <c r="F5" s="20" t="s">
        <v>732</v>
      </c>
      <c r="G5" s="20" t="s">
        <v>733</v>
      </c>
      <c r="H5" s="14" t="s">
        <v>734</v>
      </c>
    </row>
    <row r="6" customFormat="false" ht="15" hidden="false" customHeight="false" outlineLevel="0" collapsed="false">
      <c r="A6" s="7" t="s">
        <v>735</v>
      </c>
      <c r="B6" s="11" t="s">
        <v>729</v>
      </c>
      <c r="C6" s="14" t="s">
        <v>736</v>
      </c>
      <c r="D6" s="11" t="s">
        <v>737</v>
      </c>
      <c r="E6" s="11" t="s">
        <v>737</v>
      </c>
      <c r="F6" s="11" t="n">
        <f aca="false">INDEX(Ejecuciones!$J$5:$J$200,MATCH(Resumen!$C$4,Ejecuciones!$A$5:$A$200,0))</f>
        <v>19</v>
      </c>
      <c r="G6" s="17" t="str">
        <f aca="false">IF(F6="","Pendiente",IF(F6=0,"Sí","No"))</f>
        <v>No</v>
      </c>
      <c r="H6" s="14" t="s">
        <v>738</v>
      </c>
    </row>
    <row r="7" customFormat="false" ht="15" hidden="false" customHeight="false" outlineLevel="0" collapsed="false">
      <c r="A7" s="7" t="s">
        <v>739</v>
      </c>
      <c r="B7" s="11" t="s">
        <v>729</v>
      </c>
      <c r="C7" s="14" t="s">
        <v>740</v>
      </c>
      <c r="D7" s="11" t="s">
        <v>731</v>
      </c>
      <c r="E7" s="11" t="s">
        <v>731</v>
      </c>
      <c r="F7" s="19" t="n">
        <f aca="false">COUNTIFS('Resultados QA'!$D$5:$D$33,"Crítico",'Resultados QA'!$Q$5:$Q$33,"Pass")/COUNTIF('Resultados QA'!$D$5:$D$33,"Crítico")</f>
        <v>0.461538461538462</v>
      </c>
      <c r="G7" s="17" t="str">
        <f aca="false">IF(F7=1,"Sí",IF(COUNTIFS('Resultados QA'!$D$5:$D$33,"Crítico",'Resultados QA'!$Q$5:$Q$33,"No ejecutado")&gt;0,"Pendiente","No"))</f>
        <v>No</v>
      </c>
      <c r="H7" s="14" t="s">
        <v>741</v>
      </c>
    </row>
    <row r="8" customFormat="false" ht="15" hidden="false" customHeight="false" outlineLevel="0" collapsed="false">
      <c r="A8" s="7" t="s">
        <v>742</v>
      </c>
      <c r="B8" s="11" t="s">
        <v>729</v>
      </c>
      <c r="C8" s="14" t="s">
        <v>743</v>
      </c>
      <c r="D8" s="11" t="s">
        <v>497</v>
      </c>
      <c r="E8" s="11" t="s">
        <v>497</v>
      </c>
      <c r="F8" s="11" t="str">
        <f aca="false">IF(AND('Resultados QA'!$Q$27="Pass",'Resultados QA'!$Q$33="Pass"),"Cumple",IF(OR('Resultados QA'!$Q$27="No ejecutado",'Resultados QA'!$Q$33="No ejecutado"),"Pendiente","No cumple"))</f>
        <v>No cumple</v>
      </c>
      <c r="G8" s="17" t="str">
        <f aca="false">IF(F8="Cumple","Sí",IF(OR('Resultados QA'!$Q$27="No ejecutado",'Resultados QA'!$Q$33="No ejecutado"),"Pendiente","No"))</f>
        <v>No</v>
      </c>
      <c r="H8" s="14" t="s">
        <v>744</v>
      </c>
    </row>
    <row r="9" customFormat="false" ht="23.85" hidden="false" customHeight="false" outlineLevel="0" collapsed="false">
      <c r="A9" s="7" t="s">
        <v>745</v>
      </c>
      <c r="B9" s="11" t="s">
        <v>729</v>
      </c>
      <c r="C9" s="14" t="s">
        <v>746</v>
      </c>
      <c r="D9" s="11" t="s">
        <v>737</v>
      </c>
      <c r="E9" s="11" t="s">
        <v>737</v>
      </c>
      <c r="F9" s="11" t="n">
        <f aca="false">COUNTIFS(Incidencias!$J$5:$J$200,"Crítica",Incidencias!$A$5:$A$200,"&lt;&gt;",Incidencias!$K$5:$K$200,"&lt;&gt;Cerrada",Incidencias!$K$5:$K$200,"&lt;&gt;Aceptada")+COUNTIFS(Incidencias!$J$5:$J$200,"Alta",Incidencias!$A$5:$A$200,"&lt;&gt;",Incidencias!$K$5:$K$200,"&lt;&gt;Cerrada",Incidencias!$K$5:$K$200,"&lt;&gt;Aceptada")</f>
        <v>1</v>
      </c>
      <c r="G9" s="17" t="str">
        <f aca="false">IF(F9=0,"Sí","No")</f>
        <v>No</v>
      </c>
      <c r="H9" s="14" t="s">
        <v>747</v>
      </c>
    </row>
    <row r="10" customFormat="false" ht="23.85" hidden="false" customHeight="false" outlineLevel="0" collapsed="false">
      <c r="A10" s="7" t="s">
        <v>748</v>
      </c>
      <c r="B10" s="11" t="s">
        <v>729</v>
      </c>
      <c r="C10" s="14" t="s">
        <v>749</v>
      </c>
      <c r="D10" s="11" t="s">
        <v>731</v>
      </c>
      <c r="E10" s="11" t="s">
        <v>731</v>
      </c>
      <c r="F10" s="20"/>
      <c r="G10" s="20" t="s">
        <v>733</v>
      </c>
      <c r="H10" s="14" t="s">
        <v>750</v>
      </c>
    </row>
    <row r="11" customFormat="false" ht="15" hidden="false" customHeight="false" outlineLevel="0" collapsed="false">
      <c r="A11" s="7" t="s">
        <v>751</v>
      </c>
      <c r="B11" s="11" t="s">
        <v>752</v>
      </c>
      <c r="C11" s="14" t="s">
        <v>753</v>
      </c>
      <c r="D11" s="11" t="s">
        <v>754</v>
      </c>
      <c r="E11" s="11" t="s">
        <v>755</v>
      </c>
      <c r="F11" s="19" t="n">
        <f aca="false">IFERROR(COUNTIF('Resultados QA'!$Q$5:$Q$33,"Pass")/(COUNTIF('Resultados QA'!$Q$5:$Q$33,"Pass")+COUNTIF('Resultados QA'!$Q$5:$Q$33,"Fail")),"")</f>
        <v>0.535714285714286</v>
      </c>
      <c r="G11" s="17" t="str">
        <f aca="false">IF(F11="","Pendiente",IF(F11&gt;=0.9,"Sí","No"))</f>
        <v>No</v>
      </c>
      <c r="H11" s="14" t="s">
        <v>756</v>
      </c>
    </row>
    <row r="12" customFormat="false" ht="15" hidden="false" customHeight="false" outlineLevel="0" collapsed="false">
      <c r="A12" s="7" t="s">
        <v>757</v>
      </c>
      <c r="B12" s="11" t="s">
        <v>752</v>
      </c>
      <c r="C12" s="14" t="s">
        <v>758</v>
      </c>
      <c r="D12" s="11" t="s">
        <v>731</v>
      </c>
      <c r="E12" s="11" t="s">
        <v>754</v>
      </c>
      <c r="F12" s="19" t="n">
        <f aca="false">(COUNTA('Resultados QA'!$Q$5:$Q$33)-COUNTIF('Resultados QA'!$Q$5:$Q$33,"No ejecutado"))/COUNTA('Resultados QA'!$Q$5:$Q$33)</f>
        <v>0.96551724137931</v>
      </c>
      <c r="G12" s="17" t="str">
        <f aca="false">IF(F12&gt;=0.95,"Sí",IF(F12=0,"Pendiente","No"))</f>
        <v>Sí</v>
      </c>
      <c r="H12" s="14" t="s">
        <v>759</v>
      </c>
    </row>
    <row r="13" customFormat="false" ht="23.85" hidden="false" customHeight="false" outlineLevel="0" collapsed="false">
      <c r="A13" s="7" t="s">
        <v>760</v>
      </c>
      <c r="B13" s="11" t="s">
        <v>752</v>
      </c>
      <c r="C13" s="14" t="s">
        <v>761</v>
      </c>
      <c r="D13" s="11" t="s">
        <v>762</v>
      </c>
      <c r="E13" s="11" t="s">
        <v>763</v>
      </c>
      <c r="F13" s="11" t="n">
        <f aca="false">COUNTIFS(Incidencias!$J$5:$J$200,"Media",Incidencias!$A$5:$A$200,"&lt;&gt;",Incidencias!$K$5:$K$200,"&lt;&gt;Cerrada",Incidencias!$K$5:$K$200,"&lt;&gt;Aceptada")</f>
        <v>8</v>
      </c>
      <c r="G13" s="17" t="str">
        <f aca="false">IF(AND(F13=0,COUNTIFS(Incidencias!$J$5:$J$200,"Media",Incidencias!$K$5:$K$200,"Aceptada")&lt;=3),"Sí","No")</f>
        <v>No</v>
      </c>
      <c r="H13" s="14" t="s">
        <v>764</v>
      </c>
    </row>
    <row r="14" customFormat="false" ht="23.85" hidden="false" customHeight="false" outlineLevel="0" collapsed="false">
      <c r="A14" s="7" t="s">
        <v>765</v>
      </c>
      <c r="B14" s="11" t="s">
        <v>752</v>
      </c>
      <c r="C14" s="14" t="s">
        <v>766</v>
      </c>
      <c r="D14" s="11" t="s">
        <v>762</v>
      </c>
      <c r="E14" s="11" t="s">
        <v>767</v>
      </c>
      <c r="F14" s="11" t="n">
        <f aca="false">COUNTIFS(Incidencias!$J$5:$J$200,"Baja",Incidencias!$A$5:$A$200,"&lt;&gt;",Incidencias!$K$5:$K$200,"&lt;&gt;Cerrada",Incidencias!$K$5:$K$200,"&lt;&gt;Aceptada")</f>
        <v>10</v>
      </c>
      <c r="G14" s="20" t="s">
        <v>733</v>
      </c>
      <c r="H14" s="14" t="s">
        <v>768</v>
      </c>
    </row>
    <row r="15" customFormat="false" ht="15" hidden="false" customHeight="false" outlineLevel="0" collapsed="false">
      <c r="A15" s="7" t="s">
        <v>769</v>
      </c>
      <c r="B15" s="11" t="s">
        <v>752</v>
      </c>
      <c r="C15" s="14" t="s">
        <v>770</v>
      </c>
      <c r="D15" s="11" t="s">
        <v>771</v>
      </c>
      <c r="E15" s="11" t="s">
        <v>772</v>
      </c>
      <c r="F15" s="19" t="n">
        <f aca="false">INDEX(Ejecuciones!$P$5:$P$200,MATCH(Resumen!$C$4,Ejecuciones!$A$5:$A$200,0))</f>
        <v>0.615079365079365</v>
      </c>
      <c r="G15" s="17" t="str">
        <f aca="false">IF(F15="","Pendiente",IF(F15&gt;=0.6,"Sí","No"))</f>
        <v>Sí</v>
      </c>
      <c r="H15" s="14" t="s">
        <v>773</v>
      </c>
    </row>
    <row r="16" customFormat="false" ht="15" hidden="false" customHeight="false" outlineLevel="0" collapsed="false">
      <c r="A16" s="7" t="s">
        <v>774</v>
      </c>
      <c r="B16" s="11" t="s">
        <v>752</v>
      </c>
      <c r="C16" s="14" t="s">
        <v>9</v>
      </c>
      <c r="D16" s="11" t="s">
        <v>775</v>
      </c>
      <c r="E16" s="11" t="s">
        <v>776</v>
      </c>
      <c r="F16" s="19" t="n">
        <f aca="false">INDEX(Ejecuciones!$N$5:$N$200,MATCH(Resumen!$C$4,Ejecuciones!$A$5:$A$200,0))</f>
        <v>0.485436893203884</v>
      </c>
      <c r="G16" s="17" t="str">
        <f aca="false">IF(F16="","Pendiente",IF(F16&gt;=0.5,"Sí","No"))</f>
        <v>No</v>
      </c>
      <c r="H16" s="14" t="s">
        <v>777</v>
      </c>
    </row>
    <row r="17" customFormat="false" ht="15" hidden="false" customHeight="false" outlineLevel="0" collapsed="false">
      <c r="A17" s="7" t="s">
        <v>778</v>
      </c>
      <c r="B17" s="11" t="s">
        <v>752</v>
      </c>
      <c r="C17" s="14" t="s">
        <v>779</v>
      </c>
      <c r="D17" s="11" t="s">
        <v>780</v>
      </c>
      <c r="E17" s="11" t="s">
        <v>781</v>
      </c>
      <c r="F17" s="19" t="n">
        <f aca="false">INDEX(Ejecuciones!$O$5:$O$200,MATCH(Resumen!$C$4,Ejecuciones!$A$5:$A$200,0))</f>
        <v>0.285714285714286</v>
      </c>
      <c r="G17" s="17" t="str">
        <f aca="false">IF(F17="","Pendiente",IF(F17&gt;=0.3,"Sí","No"))</f>
        <v>No</v>
      </c>
      <c r="H17" s="14" t="s">
        <v>782</v>
      </c>
    </row>
    <row r="18" customFormat="false" ht="15" hidden="false" customHeight="false" outlineLevel="0" collapsed="false">
      <c r="A18" s="7" t="s">
        <v>783</v>
      </c>
      <c r="B18" s="11" t="s">
        <v>752</v>
      </c>
      <c r="C18" s="14" t="s">
        <v>784</v>
      </c>
      <c r="D18" s="11" t="s">
        <v>731</v>
      </c>
      <c r="E18" s="11" t="s">
        <v>785</v>
      </c>
      <c r="F18" s="20"/>
      <c r="G18" s="20" t="s">
        <v>733</v>
      </c>
      <c r="H18" s="14" t="s">
        <v>786</v>
      </c>
    </row>
    <row r="19" customFormat="false" ht="35.05" hidden="false" customHeight="false" outlineLevel="0" collapsed="false">
      <c r="A19" s="7" t="s">
        <v>787</v>
      </c>
      <c r="B19" s="11" t="s">
        <v>752</v>
      </c>
      <c r="C19" s="14" t="s">
        <v>788</v>
      </c>
      <c r="D19" s="11" t="s">
        <v>789</v>
      </c>
      <c r="E19" s="11" t="s">
        <v>790</v>
      </c>
      <c r="F19" s="11" t="str">
        <f aca="false">COUNTIF(Tiempos!$L$5:$L$9,"Sí")&amp;" de 5 dentro del umbral"</f>
        <v>4 de 5 dentro del umbral</v>
      </c>
      <c r="G19" s="17" t="str">
        <f aca="false">IF(COUNTIF(Tiempos!$L$5:$L$9,"Sí")=5,"Sí",IF(COUNTIF(Tiempos!$L$5:$L$9,"No")&gt;0,"No","Pendiente"))</f>
        <v>No</v>
      </c>
      <c r="H19" s="14" t="s">
        <v>791</v>
      </c>
    </row>
    <row r="20" customFormat="false" ht="46.25" hidden="false" customHeight="false" outlineLevel="0" collapsed="false">
      <c r="A20" s="7" t="s">
        <v>792</v>
      </c>
      <c r="B20" s="11" t="s">
        <v>752</v>
      </c>
      <c r="C20" s="14" t="s">
        <v>793</v>
      </c>
      <c r="D20" s="11" t="s">
        <v>794</v>
      </c>
      <c r="E20" s="11" t="s">
        <v>795</v>
      </c>
      <c r="F20" s="20"/>
      <c r="G20" s="20" t="s">
        <v>733</v>
      </c>
      <c r="H20" s="14" t="s">
        <v>796</v>
      </c>
    </row>
  </sheetData>
  <conditionalFormatting sqref="G5:G20">
    <cfRule type="cellIs" priority="2" operator="equal" aboveAverage="0" equalAverage="0" bottom="0" percent="0" rank="0" text="" dxfId="0">
      <formula>"Sí"</formula>
    </cfRule>
    <cfRule type="cellIs" priority="3" operator="equal" aboveAverage="0" equalAverage="0" bottom="0" percent="0" rank="0" text="" dxfId="1">
      <formula>"No"</formula>
    </cfRule>
    <cfRule type="cellIs" priority="4" operator="equal" aboveAverage="0" equalAverage="0" bottom="0" percent="0" rank="0" text="" dxfId="2">
      <formula>"Pendiente"</formula>
    </cfRule>
  </conditionalFormatting>
  <dataValidations count="1">
    <dataValidation allowBlank="true" errorStyle="stop" operator="between" showDropDown="false" showErrorMessage="false" showInputMessage="false" sqref="G5:G20" type="list">
      <formula1>"Sí,No,Pendiente"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2026-10-12T14:56:18Z</dcterms:created>
  <dc:creator>openpyxl</dc:creator>
  <dc:description/>
  <dc:language>en-US</dc:language>
  <cp:lastModifiedBy/>
  <dcterms:modified xsi:type="dcterms:W3CDTF">2026-10-12T14:56:18Z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